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 TGC Shared\Active\TGC-01625 ACAC - Mexico - Yucatan - Carbon Development REDD+\16. SDVista Nature Framework Pilot\09. Monitoring and Data Collection\Field Data\Raw Data with Transect Locations\"/>
    </mc:Choice>
  </mc:AlternateContent>
  <xr:revisionPtr revIDLastSave="0" documentId="13_ncr:1_{87E54C0B-E98B-4977-BE42-B344A6A6E952}" xr6:coauthVersionLast="47" xr6:coauthVersionMax="47" xr10:uidLastSave="{00000000-0000-0000-0000-000000000000}"/>
  <bookViews>
    <workbookView xWindow="-108" yWindow="-108" windowWidth="23256" windowHeight="12456" activeTab="1" xr2:uid="{5120E012-019D-4B2D-916C-34946C94BA46}"/>
  </bookViews>
  <sheets>
    <sheet name="Hoja1" sheetId="1" r:id="rId1"/>
    <sheet name="Savanna vs dry for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<sst xmlns="http://schemas.openxmlformats.org/spreadsheetml/2006/main" count="585" uniqueCount="189">
  <si>
    <t>Cancabchen</t>
  </si>
  <si>
    <t>Cam01</t>
  </si>
  <si>
    <t>Cam02</t>
  </si>
  <si>
    <t>Cam03</t>
  </si>
  <si>
    <t>Cam04</t>
  </si>
  <si>
    <t>Cam09</t>
  </si>
  <si>
    <t>Cam10</t>
  </si>
  <si>
    <t>Homo sapiens</t>
  </si>
  <si>
    <t>Ardea alba</t>
  </si>
  <si>
    <t>Cricetidae</t>
  </si>
  <si>
    <t>Dives dives</t>
  </si>
  <si>
    <t>Puma concolor</t>
  </si>
  <si>
    <t>Cam05</t>
  </si>
  <si>
    <t>Cam06</t>
  </si>
  <si>
    <t>Cam07</t>
  </si>
  <si>
    <t>Cam08</t>
  </si>
  <si>
    <t>Chanchen</t>
  </si>
  <si>
    <t>Chunek</t>
  </si>
  <si>
    <t>Sus scrofa</t>
  </si>
  <si>
    <t>Leopsrdus pardalis</t>
  </si>
  <si>
    <t>Ortalis vetula</t>
  </si>
  <si>
    <t>Cristobal Colón</t>
  </si>
  <si>
    <t>Panthera onca</t>
  </si>
  <si>
    <t>Felipe Angeles</t>
  </si>
  <si>
    <t>Chiroptera</t>
  </si>
  <si>
    <t>Francisco J Mujica</t>
  </si>
  <si>
    <t>Manuel Crescncio Rejón</t>
  </si>
  <si>
    <t>Pustunich</t>
  </si>
  <si>
    <t>Didelphis marsupialis</t>
  </si>
  <si>
    <t>Heteromys desmarestianus</t>
  </si>
  <si>
    <t>Xcanhá</t>
  </si>
  <si>
    <t>Xmaben</t>
  </si>
  <si>
    <t>Yohaltun</t>
  </si>
  <si>
    <t>PointZ (-89.77541609843392223 17.9162962211700787 0)</t>
  </si>
  <si>
    <t>PointZ (-89.77603036048897422 17.91576370699532106 0)</t>
  </si>
  <si>
    <t>PointZ (-89.77577713464732767 17.91646263758991964 0)</t>
  </si>
  <si>
    <t>PointZ (-89.77537268216060795 17.95887352539045878 0)</t>
  </si>
  <si>
    <t>PointZ (-89.77311988445711677 17.95598903449988981 0)</t>
  </si>
  <si>
    <t>1.5. Forest – Subtropical/tropical dry</t>
  </si>
  <si>
    <t>PointZ (-89.42873373627662659 19.09195146246987917 0)</t>
  </si>
  <si>
    <t>PointZ (-89.43363447999999494 19.08461507000000168 239)</t>
  </si>
  <si>
    <t>PointZ (-89.43630383999999367 19.0753349099999987 198)</t>
  </si>
  <si>
    <t>PointZ (-89.4432494299999945 19.07523885999999891 201)</t>
  </si>
  <si>
    <t>PointZ (-89.44589872000000241 19.0831696700000002 238)</t>
  </si>
  <si>
    <t>PointZ (-89.44439110000000426 19.08820490000000092 217)</t>
  </si>
  <si>
    <t>PointZ (-89.44540460000000337 19.09569240000000079 201)</t>
  </si>
  <si>
    <t>PointZ (-89.45424318000000596 19.09623300000000157 244)</t>
  </si>
  <si>
    <t>PointZ (-89.4626180799999986 19.09634703000000044 242)</t>
  </si>
  <si>
    <t>PointZ (-89.46670355000000541 19.09901093999999944 241)</t>
  </si>
  <si>
    <t>PointZ (-90.07438965999999425 18.1965385700000013 183)</t>
  </si>
  <si>
    <t>PointZ (-90.07938359999999989 18.18853744999999833 167)</t>
  </si>
  <si>
    <t>PointZ (-90.07722219000000052 18.17904822999999936 178)</t>
  </si>
  <si>
    <t>PointZ (-90.0752737800000034 18.17021993999999907 166)</t>
  </si>
  <si>
    <t>PointZ (-90.07346404999999834 18.16406637000000046 169)</t>
  </si>
  <si>
    <t>PointZ (-90.06359476000000086 18.1608335700000012 177)</t>
  </si>
  <si>
    <t>PointZ (-90.05331105999999863 18.15996069999999918 195)</t>
  </si>
  <si>
    <t>PointZ (-90.04434113000002071 18.16478303999999966 187)</t>
  </si>
  <si>
    <t>PointZ (-90.03752482999999529 18.16455218000000116 194)</t>
  </si>
  <si>
    <t>PointZ (-90.03803775000000087 18.17086760000000112 226)</t>
  </si>
  <si>
    <t>*next to aguada</t>
  </si>
  <si>
    <t>PointZ (-89.73372064000000137 19.30037945000000121 151)</t>
  </si>
  <si>
    <t>PointZ (-89.73083182000000591 19.28944402000000125 151)</t>
  </si>
  <si>
    <t>PointZ (-89.73328358999999921 19.27903007000000102 157)</t>
  </si>
  <si>
    <t>PointZ (-89.74078142999999841 19.27100588000000059 158)</t>
  </si>
  <si>
    <t>PointZ (-89.74711086000000648 19.26758082999999999 149)</t>
  </si>
  <si>
    <t>PointZ (-89.70493163999999808 19.27218785999999895 172)</t>
  </si>
  <si>
    <t>PointZ (-89.70764092000000289 19.26174808000000027 163)</t>
  </si>
  <si>
    <t>PointZ (-89.70461084000000085 19.25964506000000043 177)</t>
  </si>
  <si>
    <t>PointZ (-89.69598827999999457 19.2588089999999994 158)</t>
  </si>
  <si>
    <t>PointZ (-89.69873302999999964 19.26570686000000165 153)</t>
  </si>
  <si>
    <t>PointZ (-89.25234245000000044 18.20243925000000118 202)</t>
  </si>
  <si>
    <t>PointZ (-89.25236339999999302 18.20774667999999963 210)</t>
  </si>
  <si>
    <t>PointZ (-89.25162052999999673 18.21710510999999855 197)</t>
  </si>
  <si>
    <t>PointZ (-89.25117480000000114 18.22657230000000084 187)</t>
  </si>
  <si>
    <t>PointZ (-89.25664783999999941 18.22865815000000111 202)</t>
  </si>
  <si>
    <t>PointZ (-89.25296812999999929 18.20805036000000143 194)</t>
  </si>
  <si>
    <t>PointZ (-89.16773766000000023 19.18777751000000009 98.00000000000001421)</t>
  </si>
  <si>
    <t>PointZ (-89.16877338000000464 19.18451609999999974 47)</t>
  </si>
  <si>
    <t>PointZ (-89.16337305000000413 19.1753036200000011 84)</t>
  </si>
  <si>
    <t>PointZ (-89.16900782999999819 19.17811791000000099 88)</t>
  </si>
  <si>
    <t>PointZ (-89.18203644000000452 19.18874393000000111 94)</t>
  </si>
  <si>
    <t>PointZ (-89.18682997999999884 19.18596269000000021 69)</t>
  </si>
  <si>
    <t>PointZ (-89.18542967000000488 19.17122254999999953 93)</t>
  </si>
  <si>
    <t>PointZ (-89.18155074000000582 19.16562353999999857 115)</t>
  </si>
  <si>
    <t>PointZ (-89.1785137600000013 19.15915212000000167 96)</t>
  </si>
  <si>
    <t>PointZ (-89.17234924000000262 19.14380780999999843 109)</t>
  </si>
  <si>
    <t>2.1. Savanna - Dry</t>
  </si>
  <si>
    <t>PointZ (-89.22241085000000282 19.06391483999999892 111)</t>
  </si>
  <si>
    <t>PointZ (-89.21505940999999495 19.05330076999999989 92)</t>
  </si>
  <si>
    <t>PointZ (-89.18069871000000148 19.0141652299999997 0)</t>
  </si>
  <si>
    <t>PointZ (-89.1860471600000011 19.0176488699999986 83)</t>
  </si>
  <si>
    <t>PointZ (-89.19117728000000511 19.02104140999999871 59)</t>
  </si>
  <si>
    <t>PointZ (-89.19379279000000338 19.02912050999999849 86)</t>
  </si>
  <si>
    <t>PointZ (-89.19474603999999829 19.03698264000000151 76)</t>
  </si>
  <si>
    <t>PointZ (-89.20569115000000693 19.03757802000000154 89)</t>
  </si>
  <si>
    <t>PointZ (-89.21091748999999993 19.04395123000000112 100)</t>
  </si>
  <si>
    <t>PointZ (-89.22185890999999458 19.06071023000000153 100)</t>
  </si>
  <si>
    <t>PointZ (-89.20306410999999969 17.94378410999999929 79)</t>
  </si>
  <si>
    <t>PointZ (-89.19595152139665117 17.94163289799488936 50.00000000000000711)</t>
  </si>
  <si>
    <t>PointZ (-89.19473916292190552 17.93974042745630015 0)</t>
  </si>
  <si>
    <t>PointZ (-89.19521048000000008 17.94211703999999941 53)</t>
  </si>
  <si>
    <t>PointZ (-89.19157886000000701 17.93844686999999993 58)</t>
  </si>
  <si>
    <t>PointZ (-89.19241841999999565 17.92842461000000043 55)</t>
  </si>
  <si>
    <t>PointZ (-89.19342803000000686 17.92120281000000048 49.00000000000000711)</t>
  </si>
  <si>
    <t>PointZ (-89.19457787999999709 17.91434608999999867 56)</t>
  </si>
  <si>
    <t>PointZ (-89.19609923000000151 17.9059763899999993 53)</t>
  </si>
  <si>
    <t>PointZ (-89.19721542999999997 17.89994602000000157 39.99999999999999289)</t>
  </si>
  <si>
    <t>PointZ (-89.63114166259765625 19.15689086914062855 178.30799865722659092)</t>
  </si>
  <si>
    <t>PointZ (-89.6333160400390625 19.15137481689453125 161.23919677734380684)</t>
  </si>
  <si>
    <t>PointZ (-89.62701402604579926 19.15511107141142944 0)</t>
  </si>
  <si>
    <t>PointZ (-89.62943267822265625 19.16450691223144887 184)</t>
  </si>
  <si>
    <t>PointZ (-89.62328338623046875 19.16717529296875 198)</t>
  </si>
  <si>
    <t>species - dry forest</t>
  </si>
  <si>
    <t>species - savanna</t>
  </si>
  <si>
    <t>Leopardus pardalis</t>
  </si>
  <si>
    <t>Habia fuscicauda</t>
  </si>
  <si>
    <t>Aramus guarauna</t>
  </si>
  <si>
    <t>Dicotyles tajacu</t>
  </si>
  <si>
    <t>Leptotila verrauxi</t>
  </si>
  <si>
    <t>Butorides virescens</t>
  </si>
  <si>
    <t>Meleagris ocellata</t>
  </si>
  <si>
    <t>Tapirus bairdii</t>
  </si>
  <si>
    <t>Nasua narica</t>
  </si>
  <si>
    <t>Odocoileus pandora</t>
  </si>
  <si>
    <t>Urocyon cinereoargenteus</t>
  </si>
  <si>
    <t>Sciurus yucatanensis</t>
  </si>
  <si>
    <t>Thryothorus ludovicianus</t>
  </si>
  <si>
    <t>Odocoileus virginianus</t>
  </si>
  <si>
    <t>Aramides albiventris</t>
  </si>
  <si>
    <t>Marmosa mayensis</t>
  </si>
  <si>
    <t>Dasypus novemcinctus</t>
  </si>
  <si>
    <t>Spilogale yucatanensis</t>
  </si>
  <si>
    <t>Odocoileus sp</t>
  </si>
  <si>
    <t>Capra hircus</t>
  </si>
  <si>
    <t>Ctenosaura similis</t>
  </si>
  <si>
    <t>Dasyprocta punctata</t>
  </si>
  <si>
    <t>Coragyps atratus</t>
  </si>
  <si>
    <t>Rupornis magnirostris</t>
  </si>
  <si>
    <t>Myozetetes similis</t>
  </si>
  <si>
    <t>Spizaetus sp</t>
  </si>
  <si>
    <t>Psilorhinus morio</t>
  </si>
  <si>
    <t>Peromyscus yucatanicus</t>
  </si>
  <si>
    <t>Sylvilagus yucatanicus</t>
  </si>
  <si>
    <t>Herpailurus yaguaroundi</t>
  </si>
  <si>
    <t>Canis familiaris</t>
  </si>
  <si>
    <t>Didelphis virginiana</t>
  </si>
  <si>
    <t>Mniotilta varia</t>
  </si>
  <si>
    <t>Sciurus deppei</t>
  </si>
  <si>
    <t>Potos flavus</t>
  </si>
  <si>
    <t>Conepatus semistriatus</t>
  </si>
  <si>
    <t>Accipiter bicolor</t>
  </si>
  <si>
    <t>Crax rubra</t>
  </si>
  <si>
    <t>Buteogallus sp</t>
  </si>
  <si>
    <t>Philander vosii</t>
  </si>
  <si>
    <t>Crocodylus moreletii</t>
  </si>
  <si>
    <t>Eira barbara</t>
  </si>
  <si>
    <t>Penelope purpurascens</t>
  </si>
  <si>
    <t>Strix virgata</t>
  </si>
  <si>
    <t>Mazama temama</t>
  </si>
  <si>
    <t>Hylocichla mustelina</t>
  </si>
  <si>
    <t>Ateles geoffroyi</t>
  </si>
  <si>
    <t>Arremonops chloronotus</t>
  </si>
  <si>
    <t>Cochlearius cochlearius</t>
  </si>
  <si>
    <t>Bos taurus</t>
  </si>
  <si>
    <t>Micrastur semitorquatus</t>
  </si>
  <si>
    <t>Odocoieus pandora</t>
  </si>
  <si>
    <t>Parkesia motacilla</t>
  </si>
  <si>
    <t>Leptotila plumbiceps</t>
  </si>
  <si>
    <t>Cras rubra</t>
  </si>
  <si>
    <t>Cyanocompsa parellina</t>
  </si>
  <si>
    <t>Patagioenas flavirostris</t>
  </si>
  <si>
    <t>Lithobates brownorum</t>
  </si>
  <si>
    <t>Patagioenas speciosa</t>
  </si>
  <si>
    <t>Sporophila morelleti</t>
  </si>
  <si>
    <t>Tigrisoma mexicanum</t>
  </si>
  <si>
    <t>Turdus grayi</t>
  </si>
  <si>
    <t>Crypturellus cinnamomeus</t>
  </si>
  <si>
    <t>Formicarius moniliger</t>
  </si>
  <si>
    <t>Agamia agami</t>
  </si>
  <si>
    <t>Attila spadiceus</t>
  </si>
  <si>
    <t>Dendrocincla homochroa</t>
  </si>
  <si>
    <t>Cuniculus paca</t>
  </si>
  <si>
    <t>Ototylomys phyllotis</t>
  </si>
  <si>
    <t>Passerina cyanea</t>
  </si>
  <si>
    <t>Canis latrans</t>
  </si>
  <si>
    <t>Cathartes aura</t>
  </si>
  <si>
    <t>Didelphis sp</t>
  </si>
  <si>
    <t>Tinamu major</t>
  </si>
  <si>
    <t>Missing from Dry Forests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</si>
</sst>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FDFD-D4D7-4EAB-A9A3-A2C0B64B7B10}">
  <dimension ref="A1:J137"/>
  <sheetViews>
    <sheetView zoomScale="75" workbookViewId="0">
      <pane ySplit="1" topLeftCell="A4" activePane="bottomLeft" state="frozen"/>
      <selection activeCell="E1" sqref="E1"/>
      <selection pane="bottomLeft" activeCell="D17" sqref="D17"/>
    </sheetView>
  </sheetViews>
  <sheetFormatPr defaultColWidth="10.88671875" defaultRowHeight="14.4" x14ac:dyDescent="0.3"/>
  <cols>
    <col min="1" max="1" width="23.77734375" style="1" bestFit="1" customWidth="1"/>
    <col min="2" max="2" width="23.44140625" style="1" bestFit="1" customWidth="1"/>
    <col min="3" max="3" width="21" style="1" bestFit="1" customWidth="1"/>
    <col min="4" max="10" width="23.44140625" style="1" bestFit="1" customWidth="1"/>
    <col min="11" max="16384" width="10.88671875" style="1"/>
  </cols>
  <sheetData>
    <row r="1" spans="1:10" s="4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5</v>
      </c>
      <c r="J1" s="4" t="s">
        <v>6</v>
      </c>
    </row>
    <row r="2" spans="1:10" s="4" customFormat="1" x14ac:dyDescent="0.3"/>
    <row r="3" spans="1:10" s="7" customFormat="1" x14ac:dyDescent="0.3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s="7" customFormat="1" ht="57.6" x14ac:dyDescent="0.3">
      <c r="A4" s="11" t="s">
        <v>107</v>
      </c>
      <c r="B4" s="11" t="s">
        <v>108</v>
      </c>
      <c r="C4" s="10"/>
      <c r="D4" s="10"/>
      <c r="E4" s="10"/>
      <c r="F4" s="10"/>
      <c r="G4" s="10"/>
      <c r="H4" s="10" t="s">
        <v>109</v>
      </c>
      <c r="I4" s="10" t="s">
        <v>110</v>
      </c>
      <c r="J4" s="10" t="s">
        <v>111</v>
      </c>
    </row>
    <row r="5" spans="1:10" s="7" customFormat="1" ht="28.8" x14ac:dyDescent="0.3">
      <c r="A5" s="10" t="s">
        <v>38</v>
      </c>
      <c r="B5" s="10" t="s">
        <v>38</v>
      </c>
      <c r="C5" s="10"/>
      <c r="D5" s="10"/>
      <c r="E5" s="10"/>
      <c r="F5" s="10"/>
      <c r="G5" s="10"/>
      <c r="H5" s="10" t="s">
        <v>38</v>
      </c>
      <c r="I5" s="10" t="s">
        <v>38</v>
      </c>
      <c r="J5" s="10" t="s">
        <v>38</v>
      </c>
    </row>
    <row r="6" spans="1:10" x14ac:dyDescent="0.3">
      <c r="A6" s="3" t="s">
        <v>115</v>
      </c>
      <c r="B6" s="3" t="s">
        <v>116</v>
      </c>
      <c r="C6" s="3"/>
      <c r="D6" s="3"/>
      <c r="E6" s="3"/>
      <c r="F6" s="3"/>
      <c r="G6" s="3"/>
      <c r="H6" s="3"/>
      <c r="I6" s="3" t="s">
        <v>9</v>
      </c>
      <c r="J6" s="3" t="s">
        <v>114</v>
      </c>
    </row>
    <row r="7" spans="1:10" x14ac:dyDescent="0.3">
      <c r="A7" s="3" t="s">
        <v>7</v>
      </c>
      <c r="B7" s="3" t="s">
        <v>8</v>
      </c>
      <c r="C7" s="3"/>
      <c r="D7" s="3"/>
      <c r="E7" s="3"/>
      <c r="F7" s="3"/>
      <c r="G7" s="3"/>
      <c r="H7" s="3"/>
      <c r="I7" s="3" t="s">
        <v>117</v>
      </c>
      <c r="J7" s="3" t="s">
        <v>118</v>
      </c>
    </row>
    <row r="8" spans="1:10" x14ac:dyDescent="0.3">
      <c r="A8" s="3"/>
      <c r="B8" s="3" t="s">
        <v>119</v>
      </c>
      <c r="C8" s="3"/>
      <c r="D8" s="3"/>
      <c r="E8" s="3"/>
      <c r="F8" s="3"/>
      <c r="G8" s="3"/>
      <c r="H8" s="3"/>
      <c r="I8" s="3" t="s">
        <v>10</v>
      </c>
      <c r="J8" s="3" t="s">
        <v>120</v>
      </c>
    </row>
    <row r="9" spans="1:10" x14ac:dyDescent="0.3">
      <c r="A9" s="3"/>
      <c r="B9" s="3" t="s">
        <v>121</v>
      </c>
      <c r="C9" s="3"/>
      <c r="D9" s="3"/>
      <c r="E9" s="3"/>
      <c r="F9" s="3"/>
      <c r="G9" s="3"/>
      <c r="H9" s="3"/>
      <c r="I9" s="3" t="s">
        <v>120</v>
      </c>
      <c r="J9" s="3" t="s">
        <v>122</v>
      </c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 t="s">
        <v>123</v>
      </c>
      <c r="J10" s="3" t="s">
        <v>11</v>
      </c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 t="s">
        <v>11</v>
      </c>
      <c r="J11" s="3" t="s">
        <v>124</v>
      </c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 t="s">
        <v>125</v>
      </c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 t="s">
        <v>126</v>
      </c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 t="s">
        <v>124</v>
      </c>
      <c r="J14" s="3"/>
    </row>
    <row r="15" spans="1:10" x14ac:dyDescent="0.3">
      <c r="A15" s="14" t="s">
        <v>16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54" customHeight="1" x14ac:dyDescent="0.3">
      <c r="A16" s="8" t="s">
        <v>96</v>
      </c>
      <c r="B16" s="8" t="s">
        <v>95</v>
      </c>
      <c r="C16" s="8" t="s">
        <v>94</v>
      </c>
      <c r="D16" s="8" t="s">
        <v>93</v>
      </c>
      <c r="E16" s="8" t="s">
        <v>92</v>
      </c>
      <c r="F16" s="8" t="s">
        <v>91</v>
      </c>
      <c r="G16" s="8" t="s">
        <v>90</v>
      </c>
      <c r="H16" s="8" t="s">
        <v>89</v>
      </c>
      <c r="I16" s="8" t="s">
        <v>88</v>
      </c>
      <c r="J16" s="8" t="s">
        <v>87</v>
      </c>
    </row>
    <row r="17" spans="1:10" ht="28.8" x14ac:dyDescent="0.3">
      <c r="A17" s="8" t="s">
        <v>38</v>
      </c>
      <c r="B17" s="8" t="s">
        <v>38</v>
      </c>
      <c r="C17" s="8" t="s">
        <v>38</v>
      </c>
      <c r="D17" s="8" t="s">
        <v>38</v>
      </c>
      <c r="E17" s="8" t="s">
        <v>38</v>
      </c>
      <c r="F17" s="8" t="s">
        <v>86</v>
      </c>
      <c r="G17" s="8" t="s">
        <v>38</v>
      </c>
      <c r="H17" s="8" t="s">
        <v>38</v>
      </c>
      <c r="I17" s="8" t="s">
        <v>38</v>
      </c>
      <c r="J17" s="8" t="s">
        <v>38</v>
      </c>
    </row>
    <row r="18" spans="1:10" x14ac:dyDescent="0.3">
      <c r="A18" s="1" t="s">
        <v>123</v>
      </c>
      <c r="B18" s="1" t="s">
        <v>122</v>
      </c>
      <c r="C18" s="1" t="s">
        <v>127</v>
      </c>
      <c r="D18" s="1" t="s">
        <v>128</v>
      </c>
      <c r="E18" s="1" t="s">
        <v>122</v>
      </c>
      <c r="F18" s="5" t="s">
        <v>129</v>
      </c>
      <c r="G18" s="1" t="s">
        <v>122</v>
      </c>
      <c r="H18" s="1" t="s">
        <v>130</v>
      </c>
      <c r="J18" s="1" t="s">
        <v>123</v>
      </c>
    </row>
    <row r="19" spans="1:10" x14ac:dyDescent="0.3">
      <c r="B19" s="1" t="s">
        <v>131</v>
      </c>
      <c r="D19" s="1" t="s">
        <v>114</v>
      </c>
      <c r="E19" s="1" t="s">
        <v>132</v>
      </c>
      <c r="H19" s="1" t="s">
        <v>120</v>
      </c>
    </row>
    <row r="20" spans="1:10" x14ac:dyDescent="0.3">
      <c r="D20" s="1" t="s">
        <v>127</v>
      </c>
      <c r="E20" s="1" t="s">
        <v>11</v>
      </c>
      <c r="H20" s="1" t="s">
        <v>122</v>
      </c>
    </row>
    <row r="21" spans="1:10" x14ac:dyDescent="0.3">
      <c r="D21" s="1" t="s">
        <v>121</v>
      </c>
    </row>
    <row r="22" spans="1:10" x14ac:dyDescent="0.3">
      <c r="A22" s="15" t="s">
        <v>17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s="7" customFormat="1" ht="79.2" customHeight="1" x14ac:dyDescent="0.3">
      <c r="A23" s="10" t="s">
        <v>76</v>
      </c>
      <c r="B23" s="10" t="s">
        <v>77</v>
      </c>
      <c r="C23" s="10" t="s">
        <v>78</v>
      </c>
      <c r="D23" s="10" t="s">
        <v>79</v>
      </c>
      <c r="E23" s="10" t="s">
        <v>80</v>
      </c>
      <c r="F23" s="10" t="s">
        <v>81</v>
      </c>
      <c r="G23" s="10" t="s">
        <v>82</v>
      </c>
      <c r="H23" s="10" t="s">
        <v>83</v>
      </c>
      <c r="I23" s="10" t="s">
        <v>84</v>
      </c>
      <c r="J23" s="10" t="s">
        <v>85</v>
      </c>
    </row>
    <row r="24" spans="1:10" s="7" customFormat="1" ht="38.4" customHeight="1" x14ac:dyDescent="0.3">
      <c r="A24" s="10" t="s">
        <v>38</v>
      </c>
      <c r="B24" s="10" t="s">
        <v>38</v>
      </c>
      <c r="C24" s="10" t="s">
        <v>86</v>
      </c>
      <c r="D24" s="10" t="s">
        <v>38</v>
      </c>
      <c r="E24" s="10" t="s">
        <v>86</v>
      </c>
      <c r="F24" s="10" t="s">
        <v>86</v>
      </c>
      <c r="G24" s="10" t="s">
        <v>38</v>
      </c>
      <c r="H24" s="10" t="s">
        <v>38</v>
      </c>
      <c r="I24" s="10" t="s">
        <v>38</v>
      </c>
      <c r="J24" s="10" t="s">
        <v>38</v>
      </c>
    </row>
    <row r="25" spans="1:10" x14ac:dyDescent="0.3">
      <c r="A25" s="3" t="s">
        <v>133</v>
      </c>
      <c r="B25" s="3"/>
      <c r="C25" s="3" t="s">
        <v>118</v>
      </c>
      <c r="D25" s="3" t="s">
        <v>28</v>
      </c>
      <c r="E25" s="3" t="s">
        <v>134</v>
      </c>
      <c r="F25" s="3" t="s">
        <v>135</v>
      </c>
      <c r="G25" s="3" t="s">
        <v>135</v>
      </c>
      <c r="H25" s="3"/>
      <c r="I25" s="3" t="s">
        <v>136</v>
      </c>
      <c r="J25" s="3" t="s">
        <v>123</v>
      </c>
    </row>
    <row r="26" spans="1:10" x14ac:dyDescent="0.3">
      <c r="A26" s="3" t="s">
        <v>121</v>
      </c>
      <c r="B26" s="3"/>
      <c r="C26" s="3" t="s">
        <v>137</v>
      </c>
      <c r="D26" s="3" t="s">
        <v>138</v>
      </c>
      <c r="E26" s="3" t="s">
        <v>28</v>
      </c>
      <c r="F26" s="3" t="s">
        <v>18</v>
      </c>
      <c r="G26" s="3" t="s">
        <v>19</v>
      </c>
      <c r="H26" s="3"/>
      <c r="I26" s="3" t="s">
        <v>138</v>
      </c>
      <c r="J26" s="3" t="s">
        <v>125</v>
      </c>
    </row>
    <row r="27" spans="1:10" x14ac:dyDescent="0.3">
      <c r="A27" s="3"/>
      <c r="B27" s="3"/>
      <c r="C27" s="3" t="s">
        <v>139</v>
      </c>
      <c r="D27" s="3" t="s">
        <v>125</v>
      </c>
      <c r="E27" s="3" t="s">
        <v>115</v>
      </c>
      <c r="F27" s="3"/>
      <c r="G27" s="3" t="s">
        <v>123</v>
      </c>
      <c r="H27" s="3"/>
      <c r="I27" s="3" t="s">
        <v>140</v>
      </c>
      <c r="J27" s="3"/>
    </row>
    <row r="28" spans="1:10" x14ac:dyDescent="0.3">
      <c r="A28" s="3"/>
      <c r="B28" s="3"/>
      <c r="C28" s="3" t="s">
        <v>121</v>
      </c>
      <c r="D28" s="3" t="s">
        <v>124</v>
      </c>
      <c r="E28" s="3" t="s">
        <v>122</v>
      </c>
      <c r="F28" s="3"/>
      <c r="G28" s="3" t="s">
        <v>18</v>
      </c>
      <c r="H28" s="3"/>
      <c r="I28" s="3" t="s">
        <v>121</v>
      </c>
      <c r="J28" s="3"/>
    </row>
    <row r="29" spans="1:10" x14ac:dyDescent="0.3">
      <c r="A29" s="3"/>
      <c r="B29" s="3"/>
      <c r="C29" s="3"/>
      <c r="D29" s="3"/>
      <c r="E29" s="3" t="s">
        <v>141</v>
      </c>
      <c r="F29" s="3"/>
      <c r="G29" s="3" t="s">
        <v>20</v>
      </c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 t="s">
        <v>142</v>
      </c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 t="s">
        <v>124</v>
      </c>
      <c r="H31" s="3"/>
      <c r="I31" s="3"/>
      <c r="J31" s="3"/>
    </row>
    <row r="32" spans="1:10" hidden="1" x14ac:dyDescent="0.3">
      <c r="A32" s="16" t="s">
        <v>21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hidden="1" x14ac:dyDescent="0.3">
      <c r="A33" s="1" t="s">
        <v>143</v>
      </c>
      <c r="C33" s="1" t="s">
        <v>28</v>
      </c>
      <c r="D33" s="1" t="s">
        <v>144</v>
      </c>
      <c r="E33" s="1" t="s">
        <v>123</v>
      </c>
      <c r="F33" s="1" t="s">
        <v>9</v>
      </c>
      <c r="G33" s="1" t="s">
        <v>145</v>
      </c>
      <c r="H33" s="1" t="s">
        <v>117</v>
      </c>
      <c r="J33" s="1" t="s">
        <v>28</v>
      </c>
    </row>
    <row r="34" spans="1:10" hidden="1" x14ac:dyDescent="0.3">
      <c r="A34" s="1" t="s">
        <v>20</v>
      </c>
      <c r="C34" s="1" t="s">
        <v>146</v>
      </c>
      <c r="F34" s="1" t="s">
        <v>135</v>
      </c>
      <c r="G34" s="1" t="s">
        <v>22</v>
      </c>
      <c r="H34" s="1" t="s">
        <v>124</v>
      </c>
      <c r="J34" s="1" t="s">
        <v>20</v>
      </c>
    </row>
    <row r="35" spans="1:10" hidden="1" x14ac:dyDescent="0.3">
      <c r="A35" s="1" t="s">
        <v>124</v>
      </c>
      <c r="C35" s="1" t="s">
        <v>147</v>
      </c>
      <c r="F35" s="1" t="s">
        <v>130</v>
      </c>
      <c r="G35" s="1" t="s">
        <v>124</v>
      </c>
      <c r="J35" s="1" t="s">
        <v>148</v>
      </c>
    </row>
    <row r="36" spans="1:10" hidden="1" x14ac:dyDescent="0.3">
      <c r="F36" s="1" t="s">
        <v>28</v>
      </c>
    </row>
    <row r="37" spans="1:10" hidden="1" x14ac:dyDescent="0.3">
      <c r="F37" s="1" t="s">
        <v>145</v>
      </c>
    </row>
    <row r="38" spans="1:10" hidden="1" x14ac:dyDescent="0.3">
      <c r="F38" s="1" t="s">
        <v>118</v>
      </c>
    </row>
    <row r="39" spans="1:10" hidden="1" x14ac:dyDescent="0.3">
      <c r="F39" s="1" t="s">
        <v>124</v>
      </c>
    </row>
    <row r="40" spans="1:10" x14ac:dyDescent="0.3">
      <c r="A40" s="12" t="s">
        <v>23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s="7" customFormat="1" ht="43.2" x14ac:dyDescent="0.3">
      <c r="A41" s="6" t="s">
        <v>70</v>
      </c>
      <c r="B41" s="6" t="s">
        <v>71</v>
      </c>
      <c r="C41" s="6" t="s">
        <v>72</v>
      </c>
      <c r="D41" s="6" t="s">
        <v>73</v>
      </c>
      <c r="E41" s="6" t="s">
        <v>74</v>
      </c>
      <c r="F41" s="6" t="s">
        <v>75</v>
      </c>
      <c r="G41" s="6"/>
      <c r="H41" s="6"/>
      <c r="I41" s="6"/>
      <c r="J41" s="6"/>
    </row>
    <row r="42" spans="1:10" ht="28.8" x14ac:dyDescent="0.3">
      <c r="A42" s="6" t="s">
        <v>38</v>
      </c>
      <c r="B42" s="6" t="s">
        <v>38</v>
      </c>
      <c r="C42" s="6" t="s">
        <v>38</v>
      </c>
      <c r="D42" s="6" t="s">
        <v>38</v>
      </c>
      <c r="E42" s="6" t="s">
        <v>38</v>
      </c>
      <c r="F42" s="6" t="s">
        <v>38</v>
      </c>
      <c r="G42" s="2"/>
      <c r="H42" s="2"/>
      <c r="I42" s="2"/>
      <c r="J42" s="2"/>
    </row>
    <row r="43" spans="1:10" x14ac:dyDescent="0.3">
      <c r="A43" s="3" t="s">
        <v>149</v>
      </c>
      <c r="B43" s="3" t="s">
        <v>150</v>
      </c>
      <c r="C43" s="3"/>
      <c r="D43" s="3"/>
      <c r="E43" s="3" t="s">
        <v>144</v>
      </c>
      <c r="F43" s="3" t="s">
        <v>24</v>
      </c>
      <c r="G43" s="3"/>
      <c r="H43" s="3"/>
      <c r="I43" s="3"/>
      <c r="J43" s="3"/>
    </row>
    <row r="44" spans="1:10" x14ac:dyDescent="0.3">
      <c r="A44" s="3" t="s">
        <v>9</v>
      </c>
      <c r="B44" s="3" t="s">
        <v>128</v>
      </c>
      <c r="C44" s="3" t="s">
        <v>120</v>
      </c>
      <c r="D44" s="3" t="s">
        <v>151</v>
      </c>
      <c r="E44" s="3" t="s">
        <v>151</v>
      </c>
      <c r="F44" s="3" t="s">
        <v>122</v>
      </c>
      <c r="G44" s="3"/>
      <c r="H44" s="3"/>
      <c r="I44" s="3"/>
      <c r="J44" s="3"/>
    </row>
    <row r="45" spans="1:10" x14ac:dyDescent="0.3">
      <c r="A45" s="3" t="s">
        <v>143</v>
      </c>
      <c r="B45" s="3" t="s">
        <v>152</v>
      </c>
      <c r="C45" s="3"/>
      <c r="D45" s="3"/>
      <c r="E45" s="3" t="s">
        <v>135</v>
      </c>
      <c r="F45" s="3" t="s">
        <v>153</v>
      </c>
      <c r="G45" s="3"/>
      <c r="H45" s="3"/>
      <c r="I45" s="3"/>
      <c r="J45" s="3"/>
    </row>
    <row r="46" spans="1:10" x14ac:dyDescent="0.3">
      <c r="A46" s="3" t="s">
        <v>120</v>
      </c>
      <c r="B46" s="3" t="s">
        <v>119</v>
      </c>
      <c r="C46" s="3"/>
      <c r="D46" s="3"/>
      <c r="E46" s="3" t="s">
        <v>130</v>
      </c>
      <c r="F46" s="3" t="s">
        <v>121</v>
      </c>
      <c r="G46" s="3"/>
      <c r="H46" s="3"/>
      <c r="I46" s="3"/>
      <c r="J46" s="3"/>
    </row>
    <row r="47" spans="1:10" x14ac:dyDescent="0.3">
      <c r="A47" s="3" t="s">
        <v>122</v>
      </c>
      <c r="B47" s="3" t="s">
        <v>154</v>
      </c>
      <c r="C47" s="3"/>
      <c r="D47" s="3"/>
      <c r="E47" s="3" t="s">
        <v>155</v>
      </c>
      <c r="F47" s="3"/>
      <c r="G47" s="3"/>
      <c r="H47" s="3"/>
      <c r="I47" s="3"/>
      <c r="J47" s="3"/>
    </row>
    <row r="48" spans="1:10" x14ac:dyDescent="0.3">
      <c r="A48" s="3" t="s">
        <v>20</v>
      </c>
      <c r="B48" s="3" t="s">
        <v>118</v>
      </c>
      <c r="C48" s="3"/>
      <c r="D48" s="3"/>
      <c r="E48" s="3" t="s">
        <v>120</v>
      </c>
      <c r="F48" s="3"/>
      <c r="G48" s="3"/>
      <c r="H48" s="3"/>
      <c r="I48" s="3"/>
      <c r="J48" s="3"/>
    </row>
    <row r="49" spans="1:10" x14ac:dyDescent="0.3">
      <c r="A49" s="3" t="s">
        <v>124</v>
      </c>
      <c r="B49" s="3" t="s">
        <v>122</v>
      </c>
      <c r="C49" s="3"/>
      <c r="D49" s="3"/>
      <c r="E49" s="3" t="s">
        <v>122</v>
      </c>
      <c r="F49" s="3"/>
      <c r="G49" s="3"/>
      <c r="H49" s="3"/>
      <c r="I49" s="3"/>
      <c r="J49" s="3"/>
    </row>
    <row r="50" spans="1:10" x14ac:dyDescent="0.3">
      <c r="A50" s="3"/>
      <c r="B50" s="3" t="s">
        <v>137</v>
      </c>
      <c r="C50" s="3"/>
      <c r="D50" s="3"/>
      <c r="E50" s="3" t="s">
        <v>156</v>
      </c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 t="s">
        <v>124</v>
      </c>
      <c r="F51" s="3"/>
      <c r="G51" s="3"/>
      <c r="H51" s="3"/>
      <c r="I51" s="3"/>
      <c r="J51" s="3"/>
    </row>
    <row r="52" spans="1:10" x14ac:dyDescent="0.3">
      <c r="A52" s="16" t="s">
        <v>25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ht="43.2" x14ac:dyDescent="0.3">
      <c r="A53" s="8" t="s">
        <v>60</v>
      </c>
      <c r="B53" s="8" t="s">
        <v>61</v>
      </c>
      <c r="C53" s="8" t="s">
        <v>62</v>
      </c>
      <c r="D53" s="8" t="s">
        <v>63</v>
      </c>
      <c r="E53" s="8" t="s">
        <v>64</v>
      </c>
      <c r="F53" s="8" t="s">
        <v>65</v>
      </c>
      <c r="G53" s="8" t="s">
        <v>66</v>
      </c>
      <c r="H53" s="8" t="s">
        <v>67</v>
      </c>
      <c r="I53" s="8" t="s">
        <v>68</v>
      </c>
      <c r="J53" s="8" t="s">
        <v>69</v>
      </c>
    </row>
    <row r="54" spans="1:10" ht="28.8" x14ac:dyDescent="0.3">
      <c r="A54" s="9" t="s">
        <v>38</v>
      </c>
      <c r="B54" s="9" t="s">
        <v>38</v>
      </c>
      <c r="C54" s="9" t="s">
        <v>38</v>
      </c>
      <c r="D54" s="9" t="s">
        <v>38</v>
      </c>
      <c r="E54" s="9" t="s">
        <v>38</v>
      </c>
      <c r="F54" s="9" t="s">
        <v>38</v>
      </c>
      <c r="G54" s="9" t="s">
        <v>38</v>
      </c>
      <c r="H54" s="9" t="s">
        <v>38</v>
      </c>
      <c r="I54" s="9" t="s">
        <v>38</v>
      </c>
      <c r="J54" s="9" t="s">
        <v>38</v>
      </c>
    </row>
    <row r="55" spans="1:10" x14ac:dyDescent="0.3">
      <c r="A55" s="1" t="s">
        <v>144</v>
      </c>
      <c r="C55" s="1" t="s">
        <v>117</v>
      </c>
      <c r="D55" s="1" t="s">
        <v>135</v>
      </c>
      <c r="E55" s="1" t="s">
        <v>134</v>
      </c>
      <c r="F55" s="1" t="s">
        <v>151</v>
      </c>
      <c r="G55" s="1" t="s">
        <v>115</v>
      </c>
      <c r="H55" s="1" t="s">
        <v>24</v>
      </c>
      <c r="I55" s="1" t="s">
        <v>135</v>
      </c>
      <c r="J55" s="1" t="s">
        <v>117</v>
      </c>
    </row>
    <row r="56" spans="1:10" x14ac:dyDescent="0.3">
      <c r="A56" s="1" t="s">
        <v>117</v>
      </c>
      <c r="C56" s="1" t="s">
        <v>114</v>
      </c>
      <c r="D56" s="1" t="s">
        <v>114</v>
      </c>
      <c r="E56" s="1" t="s">
        <v>120</v>
      </c>
      <c r="F56" s="1" t="s">
        <v>122</v>
      </c>
      <c r="G56" s="1" t="s">
        <v>131</v>
      </c>
      <c r="H56" s="1" t="s">
        <v>122</v>
      </c>
      <c r="I56" s="1" t="s">
        <v>114</v>
      </c>
    </row>
    <row r="57" spans="1:10" x14ac:dyDescent="0.3">
      <c r="E57" s="1" t="s">
        <v>157</v>
      </c>
      <c r="F57" s="1" t="s">
        <v>20</v>
      </c>
      <c r="H57" s="1" t="s">
        <v>123</v>
      </c>
      <c r="I57" s="1" t="s">
        <v>158</v>
      </c>
    </row>
    <row r="58" spans="1:10" x14ac:dyDescent="0.3">
      <c r="E58" s="1" t="s">
        <v>124</v>
      </c>
      <c r="H58" s="1" t="s">
        <v>125</v>
      </c>
      <c r="I58" s="1" t="s">
        <v>123</v>
      </c>
    </row>
    <row r="59" spans="1:10" x14ac:dyDescent="0.3">
      <c r="H59" s="1" t="s">
        <v>124</v>
      </c>
      <c r="I59" s="1" t="s">
        <v>127</v>
      </c>
    </row>
    <row r="60" spans="1:10" x14ac:dyDescent="0.3">
      <c r="I60" s="1" t="s">
        <v>124</v>
      </c>
    </row>
    <row r="61" spans="1:10" x14ac:dyDescent="0.3">
      <c r="A61" s="12" t="s">
        <v>26</v>
      </c>
      <c r="B61" s="12"/>
      <c r="C61" s="12"/>
      <c r="D61" s="12"/>
      <c r="E61" s="12"/>
      <c r="F61" s="12"/>
      <c r="G61" s="12"/>
      <c r="H61" s="12"/>
      <c r="I61" s="12"/>
      <c r="J61" s="12"/>
    </row>
    <row r="62" spans="1:10" s="7" customFormat="1" ht="43.2" x14ac:dyDescent="0.3">
      <c r="A62" s="6" t="s">
        <v>97</v>
      </c>
      <c r="B62" s="6" t="s">
        <v>98</v>
      </c>
      <c r="C62" s="6" t="s">
        <v>99</v>
      </c>
      <c r="D62" s="6" t="s">
        <v>100</v>
      </c>
      <c r="E62" s="6" t="s">
        <v>101</v>
      </c>
      <c r="F62" s="6" t="s">
        <v>102</v>
      </c>
      <c r="G62" s="6" t="s">
        <v>103</v>
      </c>
      <c r="H62" s="6" t="s">
        <v>104</v>
      </c>
      <c r="I62" s="6" t="s">
        <v>105</v>
      </c>
      <c r="J62" s="6" t="s">
        <v>106</v>
      </c>
    </row>
    <row r="63" spans="1:10" s="7" customFormat="1" ht="28.8" x14ac:dyDescent="0.3">
      <c r="A63" s="6" t="s">
        <v>38</v>
      </c>
      <c r="B63" s="6" t="s">
        <v>38</v>
      </c>
      <c r="C63" s="6" t="s">
        <v>38</v>
      </c>
      <c r="D63" s="6" t="s">
        <v>38</v>
      </c>
      <c r="E63" s="6" t="s">
        <v>38</v>
      </c>
      <c r="F63" s="6" t="s">
        <v>38</v>
      </c>
      <c r="G63" s="6" t="s">
        <v>38</v>
      </c>
      <c r="H63" s="6" t="s">
        <v>38</v>
      </c>
      <c r="I63" s="6" t="s">
        <v>86</v>
      </c>
      <c r="J63" s="6" t="s">
        <v>86</v>
      </c>
    </row>
    <row r="64" spans="1:10" x14ac:dyDescent="0.3">
      <c r="A64" s="3" t="s">
        <v>159</v>
      </c>
      <c r="B64" s="3" t="s">
        <v>128</v>
      </c>
      <c r="C64" s="3" t="s">
        <v>160</v>
      </c>
      <c r="D64" s="3" t="s">
        <v>161</v>
      </c>
      <c r="E64" s="3" t="s">
        <v>130</v>
      </c>
      <c r="F64" s="3" t="s">
        <v>144</v>
      </c>
      <c r="G64" s="3" t="s">
        <v>122</v>
      </c>
      <c r="H64" s="3"/>
      <c r="I64" s="3" t="s">
        <v>123</v>
      </c>
      <c r="J64" s="3" t="s">
        <v>126</v>
      </c>
    </row>
    <row r="65" spans="1:10" x14ac:dyDescent="0.3">
      <c r="A65" s="3" t="s">
        <v>129</v>
      </c>
      <c r="B65" s="3" t="s">
        <v>162</v>
      </c>
      <c r="C65" s="3" t="s">
        <v>163</v>
      </c>
      <c r="D65" s="3" t="s">
        <v>9</v>
      </c>
      <c r="E65" s="3" t="s">
        <v>29</v>
      </c>
      <c r="F65" s="3" t="s">
        <v>24</v>
      </c>
      <c r="G65" s="3" t="s">
        <v>20</v>
      </c>
      <c r="H65" s="3"/>
      <c r="I65" s="3" t="s">
        <v>124</v>
      </c>
      <c r="J65" s="3"/>
    </row>
    <row r="66" spans="1:10" x14ac:dyDescent="0.3">
      <c r="A66" s="3" t="s">
        <v>164</v>
      </c>
      <c r="B66" s="3" t="s">
        <v>151</v>
      </c>
      <c r="C66" s="3" t="s">
        <v>144</v>
      </c>
      <c r="D66" s="3" t="s">
        <v>118</v>
      </c>
      <c r="E66" s="3" t="s">
        <v>165</v>
      </c>
      <c r="F66" s="3" t="s">
        <v>151</v>
      </c>
      <c r="G66" s="3"/>
      <c r="H66" s="3"/>
      <c r="I66" s="3"/>
      <c r="J66" s="3"/>
    </row>
    <row r="67" spans="1:10" x14ac:dyDescent="0.3">
      <c r="A67" s="3" t="s">
        <v>20</v>
      </c>
      <c r="B67" s="3" t="s">
        <v>28</v>
      </c>
      <c r="C67" s="3" t="s">
        <v>162</v>
      </c>
      <c r="D67" s="3" t="s">
        <v>166</v>
      </c>
      <c r="E67" s="3" t="s">
        <v>20</v>
      </c>
      <c r="F67" s="3" t="s">
        <v>118</v>
      </c>
      <c r="G67" s="3"/>
      <c r="H67" s="3"/>
      <c r="I67" s="3"/>
      <c r="J67" s="3"/>
    </row>
    <row r="68" spans="1:10" x14ac:dyDescent="0.3">
      <c r="A68" s="3" t="s">
        <v>137</v>
      </c>
      <c r="B68" s="3" t="s">
        <v>167</v>
      </c>
      <c r="C68" s="3" t="s">
        <v>168</v>
      </c>
      <c r="D68" s="3"/>
      <c r="E68" s="3" t="s">
        <v>124</v>
      </c>
      <c r="F68" s="3" t="s">
        <v>20</v>
      </c>
      <c r="G68" s="3"/>
      <c r="H68" s="3"/>
      <c r="I68" s="3"/>
      <c r="J68" s="3"/>
    </row>
    <row r="69" spans="1:10" x14ac:dyDescent="0.3">
      <c r="A69" s="3"/>
      <c r="B69" s="3" t="s">
        <v>118</v>
      </c>
      <c r="C69" s="3" t="s">
        <v>9</v>
      </c>
      <c r="D69" s="3"/>
      <c r="E69" s="3"/>
      <c r="F69" s="3" t="s">
        <v>124</v>
      </c>
      <c r="G69" s="3"/>
      <c r="H69" s="3"/>
      <c r="I69" s="3"/>
      <c r="J69" s="3"/>
    </row>
    <row r="70" spans="1:10" x14ac:dyDescent="0.3">
      <c r="A70" s="3"/>
      <c r="B70" s="3" t="s">
        <v>129</v>
      </c>
      <c r="C70" s="3" t="s">
        <v>169</v>
      </c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 t="s">
        <v>122</v>
      </c>
      <c r="C71" s="3" t="s">
        <v>114</v>
      </c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 t="s">
        <v>20</v>
      </c>
      <c r="C72" s="3" t="s">
        <v>118</v>
      </c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 t="s">
        <v>170</v>
      </c>
      <c r="C73" s="3" t="s">
        <v>171</v>
      </c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 t="s">
        <v>172</v>
      </c>
      <c r="C74" s="3" t="s">
        <v>20</v>
      </c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 t="s">
        <v>166</v>
      </c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 t="s">
        <v>172</v>
      </c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 t="s">
        <v>140</v>
      </c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 t="s">
        <v>173</v>
      </c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 t="s">
        <v>174</v>
      </c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 t="s">
        <v>175</v>
      </c>
      <c r="D80" s="3"/>
      <c r="E80" s="3"/>
      <c r="F80" s="3"/>
      <c r="G80" s="3"/>
      <c r="H80" s="3"/>
      <c r="I80" s="3"/>
      <c r="J80" s="3"/>
    </row>
    <row r="81" spans="1:10" x14ac:dyDescent="0.3">
      <c r="A81" s="16" t="s">
        <v>27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57.6" x14ac:dyDescent="0.3">
      <c r="A82" s="8" t="s">
        <v>49</v>
      </c>
      <c r="B82" s="8" t="s">
        <v>50</v>
      </c>
      <c r="C82" s="8" t="s">
        <v>51</v>
      </c>
      <c r="D82" s="8" t="s">
        <v>52</v>
      </c>
      <c r="E82" s="8" t="s">
        <v>53</v>
      </c>
      <c r="F82" s="8" t="s">
        <v>54</v>
      </c>
      <c r="G82" s="8" t="s">
        <v>55</v>
      </c>
      <c r="H82" s="8" t="s">
        <v>56</v>
      </c>
      <c r="I82" s="8" t="s">
        <v>57</v>
      </c>
      <c r="J82" s="8" t="s">
        <v>58</v>
      </c>
    </row>
    <row r="83" spans="1:10" s="7" customFormat="1" ht="28.8" x14ac:dyDescent="0.3">
      <c r="A83" s="9" t="s">
        <v>38</v>
      </c>
      <c r="B83" s="9" t="s">
        <v>38</v>
      </c>
      <c r="C83" s="9" t="s">
        <v>38</v>
      </c>
      <c r="D83" s="9" t="s">
        <v>38</v>
      </c>
      <c r="E83" s="9" t="s">
        <v>38</v>
      </c>
      <c r="F83" s="9" t="s">
        <v>38</v>
      </c>
      <c r="G83" s="9" t="s">
        <v>38</v>
      </c>
      <c r="H83" s="9" t="s">
        <v>38</v>
      </c>
      <c r="I83" s="9" t="s">
        <v>38</v>
      </c>
      <c r="J83" s="9" t="s">
        <v>38</v>
      </c>
    </row>
    <row r="84" spans="1:10" x14ac:dyDescent="0.3">
      <c r="A84" s="1" t="s">
        <v>151</v>
      </c>
      <c r="B84" s="1" t="s">
        <v>117</v>
      </c>
      <c r="C84" s="1" t="s">
        <v>145</v>
      </c>
      <c r="D84" s="1" t="s">
        <v>151</v>
      </c>
      <c r="F84" s="1" t="s">
        <v>120</v>
      </c>
      <c r="H84" s="1" t="s">
        <v>151</v>
      </c>
      <c r="I84" s="1" t="s">
        <v>151</v>
      </c>
      <c r="J84" s="1" t="s">
        <v>151</v>
      </c>
    </row>
    <row r="85" spans="1:10" x14ac:dyDescent="0.3">
      <c r="A85" s="1" t="s">
        <v>117</v>
      </c>
      <c r="B85" s="1" t="s">
        <v>120</v>
      </c>
      <c r="C85" s="1" t="s">
        <v>127</v>
      </c>
      <c r="D85" s="1" t="s">
        <v>117</v>
      </c>
      <c r="H85" s="1" t="s">
        <v>120</v>
      </c>
      <c r="I85" s="1" t="s">
        <v>122</v>
      </c>
      <c r="J85" s="1" t="s">
        <v>176</v>
      </c>
    </row>
    <row r="86" spans="1:10" x14ac:dyDescent="0.3">
      <c r="A86" s="1" t="s">
        <v>145</v>
      </c>
      <c r="D86" s="1" t="s">
        <v>145</v>
      </c>
      <c r="H86" s="1" t="s">
        <v>122</v>
      </c>
      <c r="I86" s="1" t="s">
        <v>11</v>
      </c>
      <c r="J86" s="1" t="s">
        <v>145</v>
      </c>
    </row>
    <row r="87" spans="1:10" x14ac:dyDescent="0.3">
      <c r="A87" s="1" t="s">
        <v>120</v>
      </c>
      <c r="D87" s="1" t="s">
        <v>28</v>
      </c>
      <c r="H87" s="1" t="s">
        <v>11</v>
      </c>
      <c r="J87" s="1" t="s">
        <v>114</v>
      </c>
    </row>
    <row r="88" spans="1:10" x14ac:dyDescent="0.3">
      <c r="A88" s="1" t="s">
        <v>122</v>
      </c>
      <c r="D88" s="1" t="s">
        <v>177</v>
      </c>
      <c r="J88" s="1" t="s">
        <v>120</v>
      </c>
    </row>
    <row r="89" spans="1:10" x14ac:dyDescent="0.3">
      <c r="A89" s="1" t="s">
        <v>124</v>
      </c>
      <c r="D89" s="1" t="s">
        <v>29</v>
      </c>
      <c r="H89" s="1" t="s">
        <v>59</v>
      </c>
      <c r="J89" s="1" t="s">
        <v>124</v>
      </c>
    </row>
    <row r="90" spans="1:10" x14ac:dyDescent="0.3">
      <c r="D90" s="1" t="s">
        <v>118</v>
      </c>
    </row>
    <row r="91" spans="1:10" x14ac:dyDescent="0.3">
      <c r="D91" s="1" t="s">
        <v>120</v>
      </c>
    </row>
    <row r="92" spans="1:10" x14ac:dyDescent="0.3">
      <c r="D92" s="1" t="s">
        <v>11</v>
      </c>
    </row>
    <row r="93" spans="1:10" x14ac:dyDescent="0.3">
      <c r="D93" s="1" t="s">
        <v>131</v>
      </c>
    </row>
    <row r="94" spans="1:10" x14ac:dyDescent="0.3">
      <c r="D94" s="1" t="s">
        <v>124</v>
      </c>
    </row>
    <row r="95" spans="1:10" x14ac:dyDescent="0.3">
      <c r="A95" s="12" t="s">
        <v>30</v>
      </c>
      <c r="B95" s="12"/>
      <c r="C95" s="12"/>
      <c r="D95" s="12"/>
      <c r="E95" s="12"/>
      <c r="F95" s="12"/>
      <c r="G95" s="12"/>
      <c r="H95" s="12"/>
      <c r="I95" s="12"/>
      <c r="J95" s="12"/>
    </row>
    <row r="96" spans="1:10" ht="57.6" x14ac:dyDescent="0.3">
      <c r="A96" s="6" t="s">
        <v>39</v>
      </c>
      <c r="B96" s="6" t="s">
        <v>40</v>
      </c>
      <c r="C96" s="6" t="s">
        <v>41</v>
      </c>
      <c r="D96" s="6" t="s">
        <v>42</v>
      </c>
      <c r="E96" s="6" t="s">
        <v>43</v>
      </c>
      <c r="F96" s="6" t="s">
        <v>44</v>
      </c>
      <c r="G96" s="6" t="s">
        <v>45</v>
      </c>
      <c r="H96" s="6" t="s">
        <v>46</v>
      </c>
      <c r="I96" s="6" t="s">
        <v>47</v>
      </c>
      <c r="J96" s="6" t="s">
        <v>48</v>
      </c>
    </row>
    <row r="97" spans="1:10" ht="28.8" x14ac:dyDescent="0.3">
      <c r="A97" s="6" t="s">
        <v>38</v>
      </c>
      <c r="B97" s="6" t="s">
        <v>38</v>
      </c>
      <c r="C97" s="6" t="s">
        <v>38</v>
      </c>
      <c r="D97" s="6" t="s">
        <v>38</v>
      </c>
      <c r="E97" s="6" t="s">
        <v>38</v>
      </c>
      <c r="F97" s="6" t="s">
        <v>38</v>
      </c>
      <c r="G97" s="6" t="s">
        <v>38</v>
      </c>
      <c r="H97" s="6" t="s">
        <v>38</v>
      </c>
      <c r="I97" s="6" t="s">
        <v>38</v>
      </c>
      <c r="J97" s="6" t="s">
        <v>38</v>
      </c>
    </row>
    <row r="98" spans="1:10" x14ac:dyDescent="0.3">
      <c r="A98" s="3" t="s">
        <v>178</v>
      </c>
      <c r="B98" s="3" t="s">
        <v>24</v>
      </c>
      <c r="C98" s="3" t="s">
        <v>24</v>
      </c>
      <c r="D98" s="3" t="s">
        <v>128</v>
      </c>
      <c r="E98" s="3" t="s">
        <v>9</v>
      </c>
      <c r="F98" s="3" t="s">
        <v>179</v>
      </c>
      <c r="G98" s="3" t="s">
        <v>151</v>
      </c>
      <c r="H98" s="3"/>
      <c r="I98" s="3"/>
      <c r="J98" s="3" t="s">
        <v>114</v>
      </c>
    </row>
    <row r="99" spans="1:10" x14ac:dyDescent="0.3">
      <c r="A99" s="3" t="s">
        <v>128</v>
      </c>
      <c r="B99" s="3" t="s">
        <v>151</v>
      </c>
      <c r="C99" s="3" t="s">
        <v>151</v>
      </c>
      <c r="D99" s="3" t="s">
        <v>151</v>
      </c>
      <c r="E99" s="3" t="s">
        <v>28</v>
      </c>
      <c r="F99" s="3" t="s">
        <v>180</v>
      </c>
      <c r="G99" s="3" t="s">
        <v>123</v>
      </c>
      <c r="H99" s="3"/>
      <c r="I99" s="3"/>
      <c r="J99" s="3" t="s">
        <v>123</v>
      </c>
    </row>
    <row r="100" spans="1:10" x14ac:dyDescent="0.3">
      <c r="A100" s="3" t="s">
        <v>151</v>
      </c>
      <c r="B100" s="3" t="s">
        <v>117</v>
      </c>
      <c r="C100" s="3" t="s">
        <v>135</v>
      </c>
      <c r="D100" s="3" t="s">
        <v>169</v>
      </c>
      <c r="E100" s="3" t="s">
        <v>120</v>
      </c>
      <c r="F100" s="3" t="s">
        <v>141</v>
      </c>
      <c r="G100" s="3"/>
      <c r="H100" s="3"/>
      <c r="I100" s="3"/>
      <c r="J100" s="3"/>
    </row>
    <row r="101" spans="1:10" x14ac:dyDescent="0.3">
      <c r="A101" s="3" t="s">
        <v>181</v>
      </c>
      <c r="B101" s="3" t="s">
        <v>145</v>
      </c>
      <c r="C101" s="3" t="s">
        <v>28</v>
      </c>
      <c r="D101" s="3" t="s">
        <v>145</v>
      </c>
      <c r="E101" s="3" t="s">
        <v>123</v>
      </c>
      <c r="F101" s="3" t="s">
        <v>153</v>
      </c>
      <c r="G101" s="3"/>
      <c r="H101" s="3"/>
      <c r="I101" s="3"/>
      <c r="J101" s="3"/>
    </row>
    <row r="102" spans="1:10" x14ac:dyDescent="0.3">
      <c r="A102" s="3" t="s">
        <v>130</v>
      </c>
      <c r="B102" s="3"/>
      <c r="C102" s="3" t="s">
        <v>120</v>
      </c>
      <c r="D102" s="3" t="s">
        <v>120</v>
      </c>
      <c r="E102" s="3" t="s">
        <v>20</v>
      </c>
      <c r="F102" s="3" t="s">
        <v>140</v>
      </c>
      <c r="G102" s="3"/>
      <c r="H102" s="3"/>
      <c r="I102" s="3"/>
      <c r="J102" s="3"/>
    </row>
    <row r="103" spans="1:10" x14ac:dyDescent="0.3">
      <c r="A103" s="3" t="s">
        <v>117</v>
      </c>
      <c r="B103" s="3"/>
      <c r="C103" s="3" t="s">
        <v>122</v>
      </c>
      <c r="D103" s="3" t="s">
        <v>138</v>
      </c>
      <c r="E103" s="3" t="s">
        <v>182</v>
      </c>
      <c r="F103" s="3" t="s">
        <v>147</v>
      </c>
      <c r="G103" s="3"/>
      <c r="H103" s="3"/>
      <c r="I103" s="3"/>
      <c r="J103" s="3"/>
    </row>
    <row r="104" spans="1:10" x14ac:dyDescent="0.3">
      <c r="A104" s="3" t="s">
        <v>20</v>
      </c>
      <c r="B104" s="3"/>
      <c r="C104" s="3"/>
      <c r="D104" s="3" t="s">
        <v>122</v>
      </c>
      <c r="E104" s="3" t="s">
        <v>125</v>
      </c>
      <c r="F104" s="3"/>
      <c r="G104" s="3"/>
      <c r="H104" s="3"/>
      <c r="I104" s="3"/>
      <c r="J104" s="3"/>
    </row>
    <row r="105" spans="1:10" x14ac:dyDescent="0.3">
      <c r="A105" s="3" t="s">
        <v>140</v>
      </c>
      <c r="B105" s="3"/>
      <c r="C105" s="3"/>
      <c r="D105" s="3" t="s">
        <v>127</v>
      </c>
      <c r="E105" s="3" t="s">
        <v>121</v>
      </c>
      <c r="F105" s="3"/>
      <c r="G105" s="3"/>
      <c r="H105" s="3"/>
      <c r="I105" s="3"/>
      <c r="J105" s="3"/>
    </row>
    <row r="106" spans="1:10" x14ac:dyDescent="0.3">
      <c r="A106" s="3"/>
      <c r="B106" s="3"/>
      <c r="C106" s="3"/>
      <c r="D106" s="3" t="s">
        <v>22</v>
      </c>
      <c r="E106" s="3" t="s">
        <v>124</v>
      </c>
      <c r="F106" s="3"/>
      <c r="G106" s="3"/>
      <c r="H106" s="3"/>
      <c r="I106" s="3"/>
      <c r="J106" s="3"/>
    </row>
    <row r="107" spans="1:10" x14ac:dyDescent="0.3">
      <c r="A107" s="3"/>
      <c r="B107" s="3"/>
      <c r="C107" s="3"/>
      <c r="D107" s="3" t="s">
        <v>156</v>
      </c>
      <c r="E107" s="3"/>
      <c r="F107" s="3"/>
      <c r="G107" s="3"/>
      <c r="H107" s="3"/>
      <c r="I107" s="3"/>
      <c r="J107" s="3"/>
    </row>
    <row r="108" spans="1:10" x14ac:dyDescent="0.3">
      <c r="A108" s="3"/>
      <c r="B108" s="3"/>
      <c r="C108" s="3"/>
      <c r="D108" s="3" t="s">
        <v>11</v>
      </c>
      <c r="E108" s="3"/>
      <c r="F108" s="3"/>
      <c r="G108" s="3"/>
      <c r="H108" s="3"/>
      <c r="I108" s="3"/>
      <c r="J108" s="3"/>
    </row>
    <row r="109" spans="1:10" x14ac:dyDescent="0.3">
      <c r="A109" s="3"/>
      <c r="B109" s="3"/>
      <c r="C109" s="3"/>
      <c r="D109" s="3" t="s">
        <v>125</v>
      </c>
      <c r="E109" s="3"/>
      <c r="F109" s="3"/>
      <c r="G109" s="3"/>
      <c r="H109" s="3"/>
      <c r="I109" s="3"/>
      <c r="J109" s="3"/>
    </row>
    <row r="110" spans="1:10" x14ac:dyDescent="0.3">
      <c r="A110" s="3"/>
      <c r="B110" s="3"/>
      <c r="C110" s="3"/>
      <c r="D110" s="3" t="s">
        <v>121</v>
      </c>
      <c r="E110" s="3"/>
      <c r="F110" s="3"/>
      <c r="G110" s="3"/>
      <c r="H110" s="3"/>
      <c r="I110" s="3"/>
      <c r="J110" s="3"/>
    </row>
    <row r="111" spans="1:10" hidden="1" x14ac:dyDescent="0.3">
      <c r="A111" s="16" t="s">
        <v>31</v>
      </c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idden="1" x14ac:dyDescent="0.3">
      <c r="A112" s="1" t="s">
        <v>135</v>
      </c>
      <c r="B112" s="1" t="s">
        <v>151</v>
      </c>
      <c r="C112" s="1" t="s">
        <v>28</v>
      </c>
      <c r="D112" s="1" t="s">
        <v>135</v>
      </c>
      <c r="E112" s="1" t="s">
        <v>120</v>
      </c>
      <c r="F112" s="1" t="s">
        <v>28</v>
      </c>
      <c r="G112" s="1" t="s">
        <v>137</v>
      </c>
      <c r="H112" s="1" t="s">
        <v>122</v>
      </c>
      <c r="I112" s="1" t="s">
        <v>176</v>
      </c>
      <c r="J112" s="1" t="s">
        <v>135</v>
      </c>
    </row>
    <row r="113" spans="1:10" hidden="1" x14ac:dyDescent="0.3">
      <c r="A113" s="1" t="s">
        <v>145</v>
      </c>
      <c r="B113" s="1" t="s">
        <v>145</v>
      </c>
      <c r="C113" s="1" t="s">
        <v>145</v>
      </c>
      <c r="D113" s="1" t="s">
        <v>127</v>
      </c>
      <c r="E113" s="1" t="s">
        <v>183</v>
      </c>
      <c r="F113" s="1" t="s">
        <v>145</v>
      </c>
      <c r="G113" s="1" t="s">
        <v>147</v>
      </c>
      <c r="I113" s="1" t="s">
        <v>145</v>
      </c>
      <c r="J113" s="1" t="s">
        <v>28</v>
      </c>
    </row>
    <row r="114" spans="1:10" hidden="1" x14ac:dyDescent="0.3">
      <c r="A114" s="1" t="s">
        <v>118</v>
      </c>
      <c r="B114" s="1" t="s">
        <v>114</v>
      </c>
      <c r="C114" s="1" t="s">
        <v>114</v>
      </c>
      <c r="D114" s="1" t="s">
        <v>11</v>
      </c>
      <c r="I114" s="1" t="s">
        <v>122</v>
      </c>
      <c r="J114" s="1" t="s">
        <v>145</v>
      </c>
    </row>
    <row r="115" spans="1:10" hidden="1" x14ac:dyDescent="0.3">
      <c r="A115" s="1" t="s">
        <v>122</v>
      </c>
      <c r="C115" s="1" t="s">
        <v>122</v>
      </c>
      <c r="J115" s="1" t="s">
        <v>122</v>
      </c>
    </row>
    <row r="116" spans="1:10" hidden="1" x14ac:dyDescent="0.3">
      <c r="A116" s="1" t="s">
        <v>127</v>
      </c>
      <c r="C116" s="1" t="s">
        <v>142</v>
      </c>
      <c r="J116" s="1" t="s">
        <v>127</v>
      </c>
    </row>
    <row r="117" spans="1:10" hidden="1" x14ac:dyDescent="0.3">
      <c r="A117" s="1" t="s">
        <v>124</v>
      </c>
      <c r="J117" s="1" t="s">
        <v>142</v>
      </c>
    </row>
    <row r="118" spans="1:10" x14ac:dyDescent="0.3">
      <c r="A118" s="12" t="s">
        <v>32</v>
      </c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s="7" customFormat="1" ht="57.6" x14ac:dyDescent="0.3">
      <c r="A119" s="6" t="s">
        <v>33</v>
      </c>
      <c r="B119" s="6" t="s">
        <v>34</v>
      </c>
      <c r="C119" s="6" t="s">
        <v>35</v>
      </c>
      <c r="D119" s="6" t="s">
        <v>36</v>
      </c>
      <c r="E119" s="6" t="s">
        <v>37</v>
      </c>
      <c r="F119" s="6"/>
      <c r="G119" s="6"/>
      <c r="H119" s="6"/>
      <c r="I119" s="6"/>
      <c r="J119" s="6"/>
    </row>
    <row r="120" spans="1:10" s="7" customFormat="1" ht="28.8" x14ac:dyDescent="0.3">
      <c r="A120" s="6" t="s">
        <v>38</v>
      </c>
      <c r="B120" s="6" t="s">
        <v>38</v>
      </c>
      <c r="C120" s="6" t="s">
        <v>38</v>
      </c>
      <c r="D120" s="6" t="s">
        <v>38</v>
      </c>
      <c r="E120" s="6" t="s">
        <v>38</v>
      </c>
      <c r="F120" s="6"/>
      <c r="G120" s="6"/>
      <c r="H120" s="6"/>
      <c r="I120" s="6"/>
      <c r="J120" s="6"/>
    </row>
    <row r="121" spans="1:10" x14ac:dyDescent="0.3">
      <c r="A121" s="3" t="s">
        <v>151</v>
      </c>
      <c r="B121" s="3" t="s">
        <v>184</v>
      </c>
      <c r="C121" s="3" t="s">
        <v>184</v>
      </c>
      <c r="D121" s="3" t="s">
        <v>184</v>
      </c>
      <c r="E121" s="3" t="s">
        <v>151</v>
      </c>
      <c r="F121" s="3"/>
      <c r="G121" s="3"/>
      <c r="H121" s="3"/>
      <c r="I121" s="3"/>
      <c r="J121" s="3"/>
    </row>
    <row r="122" spans="1:10" x14ac:dyDescent="0.3">
      <c r="A122" s="3" t="s">
        <v>176</v>
      </c>
      <c r="B122" s="3" t="s">
        <v>151</v>
      </c>
      <c r="C122" s="3" t="s">
        <v>149</v>
      </c>
      <c r="D122" s="3" t="s">
        <v>185</v>
      </c>
      <c r="E122" s="3" t="s">
        <v>121</v>
      </c>
      <c r="F122" s="3"/>
      <c r="G122" s="3"/>
      <c r="H122" s="3"/>
      <c r="I122" s="3"/>
      <c r="J122" s="3"/>
    </row>
    <row r="123" spans="1:10" x14ac:dyDescent="0.3">
      <c r="A123" s="3" t="s">
        <v>135</v>
      </c>
      <c r="B123" s="3" t="s">
        <v>117</v>
      </c>
      <c r="C123" s="3" t="s">
        <v>151</v>
      </c>
      <c r="D123" s="3" t="s">
        <v>151</v>
      </c>
      <c r="E123" s="3" t="s">
        <v>135</v>
      </c>
      <c r="F123" s="3"/>
      <c r="G123" s="3"/>
      <c r="H123" s="3"/>
      <c r="I123" s="3"/>
      <c r="J123" s="3"/>
    </row>
    <row r="124" spans="1:10" x14ac:dyDescent="0.3">
      <c r="A124" s="3" t="s">
        <v>145</v>
      </c>
      <c r="B124" s="3" t="s">
        <v>186</v>
      </c>
      <c r="C124" s="3" t="s">
        <v>135</v>
      </c>
      <c r="D124" s="3"/>
      <c r="E124" s="3" t="s">
        <v>117</v>
      </c>
      <c r="F124" s="3"/>
      <c r="G124" s="3"/>
      <c r="H124" s="3"/>
      <c r="I124" s="3"/>
      <c r="J124" s="3"/>
    </row>
    <row r="125" spans="1:10" x14ac:dyDescent="0.3">
      <c r="A125" s="3" t="s">
        <v>155</v>
      </c>
      <c r="B125" s="3" t="s">
        <v>114</v>
      </c>
      <c r="C125" s="3" t="s">
        <v>155</v>
      </c>
      <c r="D125" s="3"/>
      <c r="E125" s="3" t="s">
        <v>114</v>
      </c>
      <c r="F125" s="3"/>
      <c r="G125" s="3"/>
      <c r="H125" s="3"/>
      <c r="I125" s="3"/>
      <c r="J125" s="3"/>
    </row>
    <row r="126" spans="1:10" x14ac:dyDescent="0.3">
      <c r="A126" s="3" t="s">
        <v>114</v>
      </c>
      <c r="B126" s="3" t="s">
        <v>120</v>
      </c>
      <c r="C126" s="3" t="s">
        <v>114</v>
      </c>
      <c r="D126" s="3"/>
      <c r="E126" s="3" t="s">
        <v>118</v>
      </c>
      <c r="F126" s="3"/>
      <c r="G126" s="3"/>
      <c r="H126" s="3"/>
      <c r="I126" s="3"/>
      <c r="J126" s="3"/>
    </row>
    <row r="127" spans="1:10" x14ac:dyDescent="0.3">
      <c r="A127" s="3" t="s">
        <v>123</v>
      </c>
      <c r="B127" s="3" t="s">
        <v>122</v>
      </c>
      <c r="C127" s="3" t="s">
        <v>120</v>
      </c>
      <c r="D127" s="3"/>
      <c r="E127" s="3" t="s">
        <v>120</v>
      </c>
      <c r="F127" s="3"/>
      <c r="G127" s="3"/>
      <c r="H127" s="3"/>
      <c r="I127" s="3"/>
      <c r="J127" s="3"/>
    </row>
    <row r="128" spans="1:10" x14ac:dyDescent="0.3">
      <c r="A128" s="3" t="s">
        <v>120</v>
      </c>
      <c r="B128" s="3" t="s">
        <v>123</v>
      </c>
      <c r="C128" s="3" t="s">
        <v>123</v>
      </c>
      <c r="D128" s="3"/>
      <c r="E128" s="3" t="s">
        <v>122</v>
      </c>
      <c r="F128" s="3"/>
      <c r="G128" s="3"/>
      <c r="H128" s="3"/>
      <c r="I128" s="3"/>
      <c r="J128" s="3"/>
    </row>
    <row r="129" spans="1:10" x14ac:dyDescent="0.3">
      <c r="A129" s="3"/>
      <c r="B129" s="3" t="s">
        <v>22</v>
      </c>
      <c r="C129" s="3" t="s">
        <v>11</v>
      </c>
      <c r="D129" s="3"/>
      <c r="E129" s="3" t="s">
        <v>123</v>
      </c>
      <c r="F129" s="3"/>
      <c r="G129" s="3"/>
      <c r="H129" s="3"/>
      <c r="I129" s="3"/>
      <c r="J129" s="3"/>
    </row>
    <row r="130" spans="1:10" x14ac:dyDescent="0.3">
      <c r="A130" s="3"/>
      <c r="B130" s="3" t="s">
        <v>11</v>
      </c>
      <c r="C130" s="3"/>
      <c r="D130" s="3"/>
      <c r="E130" s="3" t="s">
        <v>127</v>
      </c>
      <c r="F130" s="3"/>
      <c r="G130" s="3"/>
      <c r="H130" s="3"/>
      <c r="I130" s="3"/>
      <c r="J130" s="3"/>
    </row>
    <row r="131" spans="1:10" x14ac:dyDescent="0.3">
      <c r="A131" s="3"/>
      <c r="B131" s="3" t="s">
        <v>121</v>
      </c>
      <c r="C131" s="3"/>
      <c r="D131" s="3"/>
      <c r="E131" s="3" t="s">
        <v>22</v>
      </c>
      <c r="F131" s="3"/>
      <c r="G131" s="3"/>
      <c r="H131" s="3"/>
      <c r="I131" s="3"/>
      <c r="J131" s="3"/>
    </row>
    <row r="132" spans="1:10" x14ac:dyDescent="0.3">
      <c r="A132" s="3"/>
      <c r="B132" s="3" t="s">
        <v>124</v>
      </c>
      <c r="C132" s="3"/>
      <c r="D132" s="3"/>
      <c r="E132" s="3" t="s">
        <v>11</v>
      </c>
      <c r="F132" s="3"/>
      <c r="G132" s="3"/>
      <c r="H132" s="3"/>
      <c r="I132" s="3"/>
      <c r="J132" s="3"/>
    </row>
    <row r="133" spans="1:10" x14ac:dyDescent="0.3">
      <c r="A133" s="3"/>
      <c r="B133" s="3"/>
      <c r="C133" s="3"/>
      <c r="D133" s="3"/>
      <c r="E133" s="3" t="s">
        <v>125</v>
      </c>
      <c r="F133" s="3"/>
      <c r="G133" s="3"/>
      <c r="H133" s="3"/>
      <c r="I133" s="3"/>
      <c r="J133" s="3"/>
    </row>
    <row r="134" spans="1:10" x14ac:dyDescent="0.3">
      <c r="A134" s="3"/>
      <c r="B134" s="3"/>
      <c r="C134" s="3"/>
      <c r="D134" s="3"/>
      <c r="E134" s="3" t="s">
        <v>157</v>
      </c>
      <c r="F134" s="3"/>
      <c r="G134" s="3"/>
      <c r="H134" s="3"/>
      <c r="I134" s="3"/>
      <c r="J134" s="3"/>
    </row>
    <row r="135" spans="1:10" x14ac:dyDescent="0.3">
      <c r="A135" s="3"/>
      <c r="B135" s="3"/>
      <c r="C135" s="3"/>
      <c r="D135" s="3"/>
      <c r="E135" s="3" t="s">
        <v>121</v>
      </c>
      <c r="F135" s="3"/>
      <c r="G135" s="3"/>
      <c r="H135" s="3"/>
      <c r="I135" s="3"/>
      <c r="J135" s="3"/>
    </row>
    <row r="136" spans="1:10" x14ac:dyDescent="0.3">
      <c r="A136" s="3"/>
      <c r="B136" s="3"/>
      <c r="C136" s="3"/>
      <c r="D136" s="3"/>
      <c r="E136" s="3" t="s">
        <v>187</v>
      </c>
      <c r="F136" s="3"/>
      <c r="G136" s="3"/>
      <c r="H136" s="3"/>
      <c r="I136" s="3"/>
      <c r="J136" s="3"/>
    </row>
    <row r="137" spans="1:10" x14ac:dyDescent="0.3">
      <c r="A137" s="3"/>
      <c r="B137" s="3"/>
      <c r="C137" s="3"/>
      <c r="D137" s="3"/>
      <c r="E137" s="3" t="s">
        <v>124</v>
      </c>
      <c r="F137" s="3"/>
      <c r="G137" s="3"/>
      <c r="H137" s="3"/>
      <c r="I137" s="3"/>
      <c r="J137" s="3"/>
    </row>
  </sheetData>
  <mergeCells count="11">
    <mergeCell ref="A118:J118"/>
    <mergeCell ref="A3:J3"/>
    <mergeCell ref="A15:J15"/>
    <mergeCell ref="A22:J22"/>
    <mergeCell ref="A32:J32"/>
    <mergeCell ref="A40:J40"/>
    <mergeCell ref="A52:J52"/>
    <mergeCell ref="A61:J61"/>
    <mergeCell ref="A81:J81"/>
    <mergeCell ref="A95:J95"/>
    <mergeCell ref="A111:J11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5CC9-82EE-4E58-8323-9012623C8B27}">
  <dimension ref="A1:D32"/>
  <sheetViews>
    <sheetView tabSelected="1" workbookViewId="0">
      <selection activeCell="C12" sqref="C12"/>
    </sheetView>
  </sheetViews>
  <sheetFormatPr defaultRowHeight="14.4" x14ac:dyDescent="0.3"/>
  <cols>
    <col min="1" max="1" width="34.88671875" style="17" customWidth="1"/>
    <col min="2" max="2" width="26.109375" style="17" customWidth="1"/>
    <col min="3" max="3" width="24.88671875" customWidth="1"/>
  </cols>
  <sheetData>
    <row r="1" spans="1:4" x14ac:dyDescent="0.3">
      <c r="A1" s="17" t="s">
        <v>112</v>
      </c>
      <c r="B1" s="17" t="s">
        <v>113</v>
      </c>
      <c r="C1" s="20" t="s">
        <v>188</v>
      </c>
      <c r="D1" s="20"/>
    </row>
    <row r="2" spans="1:4" x14ac:dyDescent="0.3">
      <c r="A2" s="18" t="s">
        <v>160</v>
      </c>
      <c r="B2" s="18" t="s">
        <v>135</v>
      </c>
      <c r="C2" s="20" t="str">
        <f>IF(COUNTIF(A2:A32, B2)=0, "Missing in Dry Forests", "")</f>
        <v/>
      </c>
      <c r="D2" s="20"/>
    </row>
    <row r="3" spans="1:4" x14ac:dyDescent="0.3">
      <c r="A3" s="18" t="s">
        <v>184</v>
      </c>
      <c r="B3" s="18" t="s">
        <v>28</v>
      </c>
      <c r="C3" s="20" t="str">
        <f>IF(COUNTIF(A3:A33, B3)=0, "Missing in Dry Forests", "")</f>
        <v/>
      </c>
      <c r="D3" s="20"/>
    </row>
    <row r="4" spans="1:4" x14ac:dyDescent="0.3">
      <c r="A4" s="18" t="s">
        <v>185</v>
      </c>
      <c r="B4" s="19" t="s">
        <v>129</v>
      </c>
      <c r="C4" s="20" t="str">
        <f>IF(COUNTIF(A4:A34, B4)=0, "Missing in Dry Forests", "")</f>
        <v/>
      </c>
      <c r="D4" s="20"/>
    </row>
    <row r="5" spans="1:4" x14ac:dyDescent="0.3">
      <c r="A5" s="18" t="s">
        <v>149</v>
      </c>
      <c r="B5" s="18" t="s">
        <v>122</v>
      </c>
      <c r="C5" s="20" t="str">
        <f>IF(COUNTIF(A5:A35, B5)=0, "Missing in Dry Forests", "")</f>
        <v/>
      </c>
      <c r="D5" s="20"/>
    </row>
    <row r="6" spans="1:4" x14ac:dyDescent="0.3">
      <c r="A6" s="18" t="s">
        <v>181</v>
      </c>
      <c r="B6" s="18" t="s">
        <v>123</v>
      </c>
      <c r="C6" s="20" t="str">
        <f>IF(COUNTIF(A6:A36, B6)=0, "Missing in Dry Forests", "")</f>
        <v/>
      </c>
      <c r="D6" s="20"/>
    </row>
    <row r="7" spans="1:4" x14ac:dyDescent="0.3">
      <c r="A7" s="18" t="s">
        <v>135</v>
      </c>
      <c r="B7" s="18" t="s">
        <v>141</v>
      </c>
      <c r="C7" s="20" t="str">
        <f>IF(COUNTIF(A7:A37, B7)=0, "Missing in Dry Forests", "")</f>
        <v/>
      </c>
      <c r="D7" s="20"/>
    </row>
    <row r="8" spans="1:4" x14ac:dyDescent="0.3">
      <c r="A8" s="18" t="s">
        <v>130</v>
      </c>
      <c r="B8" s="18" t="s">
        <v>18</v>
      </c>
      <c r="C8" s="20" t="str">
        <f>IF(COUNTIF(A8:A38, B8)=0, "Missing in Dry Forests", "")</f>
        <v/>
      </c>
    </row>
    <row r="9" spans="1:4" x14ac:dyDescent="0.3">
      <c r="A9" s="18" t="s">
        <v>117</v>
      </c>
      <c r="B9" s="18" t="s">
        <v>121</v>
      </c>
      <c r="C9" s="20" t="str">
        <f>IF(COUNTIF(A9:A39, B9)=0, "Missing in Dry Forests", "")</f>
        <v/>
      </c>
    </row>
    <row r="10" spans="1:4" x14ac:dyDescent="0.3">
      <c r="A10" s="18" t="s">
        <v>28</v>
      </c>
      <c r="B10" s="18" t="s">
        <v>124</v>
      </c>
      <c r="C10" s="20" t="str">
        <f>IF(COUNTIF(A10:A40, B10)=0, "Missing in Dry Forests", "")</f>
        <v/>
      </c>
    </row>
    <row r="11" spans="1:4" x14ac:dyDescent="0.3">
      <c r="A11" s="18" t="s">
        <v>145</v>
      </c>
      <c r="C11">
        <v>0</v>
      </c>
    </row>
    <row r="12" spans="1:4" x14ac:dyDescent="0.3">
      <c r="A12" s="18" t="s">
        <v>155</v>
      </c>
    </row>
    <row r="13" spans="1:4" x14ac:dyDescent="0.3">
      <c r="A13" s="18" t="s">
        <v>143</v>
      </c>
    </row>
    <row r="14" spans="1:4" x14ac:dyDescent="0.3">
      <c r="A14" s="18" t="s">
        <v>29</v>
      </c>
    </row>
    <row r="15" spans="1:4" x14ac:dyDescent="0.3">
      <c r="A15" s="18" t="s">
        <v>114</v>
      </c>
    </row>
    <row r="16" spans="1:4" x14ac:dyDescent="0.3">
      <c r="A16" s="18" t="s">
        <v>129</v>
      </c>
    </row>
    <row r="17" spans="1:1" x14ac:dyDescent="0.3">
      <c r="A17" s="18" t="s">
        <v>158</v>
      </c>
    </row>
    <row r="18" spans="1:1" x14ac:dyDescent="0.3">
      <c r="A18" s="18" t="s">
        <v>122</v>
      </c>
    </row>
    <row r="19" spans="1:1" x14ac:dyDescent="0.3">
      <c r="A19" s="18" t="s">
        <v>123</v>
      </c>
    </row>
    <row r="20" spans="1:1" x14ac:dyDescent="0.3">
      <c r="A20" s="18" t="s">
        <v>127</v>
      </c>
    </row>
    <row r="21" spans="1:1" x14ac:dyDescent="0.3">
      <c r="A21" s="18" t="s">
        <v>182</v>
      </c>
    </row>
    <row r="22" spans="1:1" x14ac:dyDescent="0.3">
      <c r="A22" s="18" t="s">
        <v>22</v>
      </c>
    </row>
    <row r="23" spans="1:1" x14ac:dyDescent="0.3">
      <c r="A23" s="18" t="s">
        <v>141</v>
      </c>
    </row>
    <row r="24" spans="1:1" x14ac:dyDescent="0.3">
      <c r="A24" s="18" t="s">
        <v>153</v>
      </c>
    </row>
    <row r="25" spans="1:1" x14ac:dyDescent="0.3">
      <c r="A25" s="18" t="s">
        <v>11</v>
      </c>
    </row>
    <row r="26" spans="1:1" x14ac:dyDescent="0.3">
      <c r="A26" s="18" t="s">
        <v>147</v>
      </c>
    </row>
    <row r="27" spans="1:1" x14ac:dyDescent="0.3">
      <c r="A27" s="18" t="s">
        <v>125</v>
      </c>
    </row>
    <row r="28" spans="1:1" x14ac:dyDescent="0.3">
      <c r="A28" s="18" t="s">
        <v>131</v>
      </c>
    </row>
    <row r="29" spans="1:1" x14ac:dyDescent="0.3">
      <c r="A29" s="18" t="s">
        <v>18</v>
      </c>
    </row>
    <row r="30" spans="1:1" x14ac:dyDescent="0.3">
      <c r="A30" s="18" t="s">
        <v>142</v>
      </c>
    </row>
    <row r="31" spans="1:1" x14ac:dyDescent="0.3">
      <c r="A31" s="18" t="s">
        <v>121</v>
      </c>
    </row>
    <row r="32" spans="1:1" x14ac:dyDescent="0.3">
      <c r="A32" s="18" t="s">
        <v>124</v>
      </c>
    </row>
  </sheetData>
  <sortState xmlns:xlrd2="http://schemas.microsoft.com/office/spreadsheetml/2017/richdata2" ref="B2:B10">
    <sortCondition ref="B2:B1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E1101DF1EEA7429C61D186DA265392" ma:contentTypeVersion="14" ma:contentTypeDescription="Create a new document." ma:contentTypeScope="" ma:versionID="e1fd029e66ff634cd9a6595544c78de4">
  <xsd:schema xmlns:xsd="http://www.w3.org/2001/XMLSchema" xmlns:xs="http://www.w3.org/2001/XMLSchema" xmlns:p="http://schemas.microsoft.com/office/2006/metadata/properties" xmlns:ns2="526a50de-7c22-4c09-8db7-73c2dd151c4b" xmlns:ns3="060a55b5-9df3-48f2-990b-75d3a82777ad" targetNamespace="http://schemas.microsoft.com/office/2006/metadata/properties" ma:root="true" ma:fieldsID="91a03fca1e0c25ddfeec49d4c0cdabe8" ns2:_="" ns3:_="">
    <xsd:import namespace="526a50de-7c22-4c09-8db7-73c2dd151c4b"/>
    <xsd:import namespace="060a55b5-9df3-48f2-990b-75d3a827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a50de-7c22-4c09-8db7-73c2dd15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e0c62d-512b-43fa-b345-b766ed03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a55b5-9df3-48f2-990b-75d3a8277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a50de-7c22-4c09-8db7-73c2dd151c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2E584E-1425-4A85-B0D7-23EFEB8595B1}"/>
</file>

<file path=customXml/itemProps2.xml><?xml version="1.0" encoding="utf-8"?>
<ds:datastoreItem xmlns:ds="http://schemas.openxmlformats.org/officeDocument/2006/customXml" ds:itemID="{6143404C-B366-4DB5-B8EB-35767B98445B}"/>
</file>

<file path=customXml/itemProps3.xml><?xml version="1.0" encoding="utf-8"?>
<ds:datastoreItem xmlns:ds="http://schemas.openxmlformats.org/officeDocument/2006/customXml" ds:itemID="{9853938F-963F-4620-BC41-D96D3129B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Savanna vs dry forests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Cruzado Cortés</dc:creator>
  <cp:lastModifiedBy>Maggie Maniago</cp:lastModifiedBy>
  <dcterms:created xsi:type="dcterms:W3CDTF">2025-05-22T20:28:21Z</dcterms:created>
  <dcterms:modified xsi:type="dcterms:W3CDTF">2025-07-02T22:08:36Z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0x01010009E1101DF1EEA7429C61D186DA265392</vt:lpwstr>
  </property>
</Properties>
</file>