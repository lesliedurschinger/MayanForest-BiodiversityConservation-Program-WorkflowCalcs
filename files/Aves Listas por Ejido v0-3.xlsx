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S:\A TGC Shared\Active\TGC-01625 ACAC - Mexico - Yucatan - Carbon Development REDD+\16. SDVista Nature Framework Pilot\09. Monitoring and Data Collection\Field Data\Raw Data with Transect Locations\"/>
    </mc:Choice>
  </mc:AlternateContent>
  <xr:revisionPtr revIDLastSave="0" documentId="13_ncr:1_{9C12290D-D99F-4CA7-97F4-C13532831B33}" xr6:coauthVersionLast="47" xr6:coauthVersionMax="47" xr10:uidLastSave="{00000000-0000-0000-0000-000000000000}"/>
  <bookViews>
    <workbookView xWindow="-96" yWindow="0" windowWidth="11712" windowHeight="12336" firstSheet="9" activeTab="10" xr2:uid="{00000000-000D-0000-FFFF-FFFF00000000}"/>
  </bookViews>
  <sheets>
    <sheet name="PUSTUNICH" sheetId="1" r:id="rId1"/>
    <sheet name="YOHALTÚN" sheetId="2" r:id="rId2"/>
    <sheet name="F. ÁNGELES" sheetId="3" r:id="rId3"/>
    <sheet name="C. COLÓN" sheetId="4" state="hidden" r:id="rId4"/>
    <sheet name="C. REJÓN" sheetId="5" r:id="rId5"/>
    <sheet name="CHUN-EK" sheetId="6" r:id="rId6"/>
    <sheet name="CHANCHÉN" sheetId="7" r:id="rId7"/>
    <sheet name="CANCABCHÉN" sheetId="8" r:id="rId8"/>
    <sheet name="XMABÉN" sheetId="9" state="hidden" r:id="rId9"/>
    <sheet name="X-CANHÁ" sheetId="10" r:id="rId10"/>
    <sheet name="F.J.MUJICA" sheetId="11" r:id="rId11"/>
    <sheet name="total by eco type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10" l="1"/>
  <c r="J83" i="7"/>
  <c r="J78" i="7"/>
  <c r="H69" i="6"/>
  <c r="G85" i="3"/>
  <c r="B217" i="12"/>
  <c r="A217" i="12"/>
  <c r="D2" i="12" a="1"/>
  <c r="D2" i="12" s="1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2" i="12"/>
  <c r="K2" i="1"/>
  <c r="K127" i="1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H31" i="6"/>
  <c r="I31" i="6"/>
  <c r="E3" i="11"/>
  <c r="E4" i="11"/>
  <c r="E64" i="11" s="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2" i="1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2" i="10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2" i="8"/>
  <c r="K17" i="7"/>
  <c r="K67" i="7"/>
  <c r="K18" i="7"/>
  <c r="K68" i="7"/>
  <c r="K19" i="7"/>
  <c r="K51" i="7"/>
  <c r="K20" i="7"/>
  <c r="K79" i="7"/>
  <c r="K69" i="7"/>
  <c r="K52" i="7"/>
  <c r="K2" i="7"/>
  <c r="K21" i="7"/>
  <c r="K3" i="7"/>
  <c r="K22" i="7"/>
  <c r="K23" i="7"/>
  <c r="K70" i="7"/>
  <c r="K76" i="7"/>
  <c r="K53" i="7"/>
  <c r="K54" i="7"/>
  <c r="K81" i="7"/>
  <c r="K55" i="7"/>
  <c r="K77" i="7"/>
  <c r="K24" i="7"/>
  <c r="K4" i="7"/>
  <c r="K25" i="7"/>
  <c r="K56" i="7"/>
  <c r="K26" i="7"/>
  <c r="K27" i="7"/>
  <c r="K71" i="7"/>
  <c r="K57" i="7"/>
  <c r="K5" i="7"/>
  <c r="K28" i="7"/>
  <c r="K29" i="7"/>
  <c r="K58" i="7"/>
  <c r="K30" i="7"/>
  <c r="K31" i="7"/>
  <c r="K32" i="7"/>
  <c r="K59" i="7"/>
  <c r="K33" i="7"/>
  <c r="K34" i="7"/>
  <c r="K35" i="7"/>
  <c r="K6" i="7"/>
  <c r="K36" i="7"/>
  <c r="K60" i="7"/>
  <c r="K37" i="7"/>
  <c r="K72" i="7"/>
  <c r="K38" i="7"/>
  <c r="K39" i="7"/>
  <c r="K40" i="7"/>
  <c r="K61" i="7"/>
  <c r="K41" i="7"/>
  <c r="K78" i="7"/>
  <c r="K82" i="7"/>
  <c r="K62" i="7"/>
  <c r="K42" i="7"/>
  <c r="K7" i="7"/>
  <c r="K8" i="7"/>
  <c r="K9" i="7"/>
  <c r="K43" i="7"/>
  <c r="K10" i="7"/>
  <c r="K63" i="7"/>
  <c r="K64" i="7"/>
  <c r="K44" i="7"/>
  <c r="K11" i="7"/>
  <c r="K45" i="7"/>
  <c r="K73" i="7"/>
  <c r="K12" i="7"/>
  <c r="K46" i="7"/>
  <c r="K47" i="7"/>
  <c r="K74" i="7"/>
  <c r="K13" i="7"/>
  <c r="K14" i="7"/>
  <c r="K15" i="7"/>
  <c r="K48" i="7"/>
  <c r="K80" i="7"/>
  <c r="K16" i="7"/>
  <c r="K49" i="7"/>
  <c r="K65" i="7"/>
  <c r="K75" i="7"/>
  <c r="K66" i="7"/>
  <c r="K50" i="7"/>
  <c r="J17" i="7"/>
  <c r="J67" i="7"/>
  <c r="J18" i="7"/>
  <c r="J68" i="7"/>
  <c r="J19" i="7"/>
  <c r="J51" i="7"/>
  <c r="J20" i="7"/>
  <c r="J79" i="7"/>
  <c r="J69" i="7"/>
  <c r="J52" i="7"/>
  <c r="J2" i="7"/>
  <c r="J21" i="7"/>
  <c r="J3" i="7"/>
  <c r="J22" i="7"/>
  <c r="J23" i="7"/>
  <c r="J70" i="7"/>
  <c r="J76" i="7"/>
  <c r="J53" i="7"/>
  <c r="J54" i="7"/>
  <c r="J81" i="7"/>
  <c r="J55" i="7"/>
  <c r="J77" i="7"/>
  <c r="J24" i="7"/>
  <c r="J4" i="7"/>
  <c r="J25" i="7"/>
  <c r="J56" i="7"/>
  <c r="J26" i="7"/>
  <c r="J27" i="7"/>
  <c r="J71" i="7"/>
  <c r="J57" i="7"/>
  <c r="J5" i="7"/>
  <c r="J28" i="7"/>
  <c r="J29" i="7"/>
  <c r="J58" i="7"/>
  <c r="J30" i="7"/>
  <c r="J31" i="7"/>
  <c r="J32" i="7"/>
  <c r="J59" i="7"/>
  <c r="J33" i="7"/>
  <c r="J34" i="7"/>
  <c r="J35" i="7"/>
  <c r="J6" i="7"/>
  <c r="J36" i="7"/>
  <c r="J60" i="7"/>
  <c r="J37" i="7"/>
  <c r="J72" i="7"/>
  <c r="J38" i="7"/>
  <c r="J39" i="7"/>
  <c r="J40" i="7"/>
  <c r="J61" i="7"/>
  <c r="J41" i="7"/>
  <c r="J82" i="7"/>
  <c r="J62" i="7"/>
  <c r="J42" i="7"/>
  <c r="J7" i="7"/>
  <c r="J8" i="7"/>
  <c r="J9" i="7"/>
  <c r="J43" i="7"/>
  <c r="J10" i="7"/>
  <c r="J63" i="7"/>
  <c r="J64" i="7"/>
  <c r="J44" i="7"/>
  <c r="J11" i="7"/>
  <c r="J45" i="7"/>
  <c r="J73" i="7"/>
  <c r="J12" i="7"/>
  <c r="J46" i="7"/>
  <c r="J47" i="7"/>
  <c r="J74" i="7"/>
  <c r="J13" i="7"/>
  <c r="J14" i="7"/>
  <c r="J15" i="7"/>
  <c r="J48" i="7"/>
  <c r="J80" i="7"/>
  <c r="J16" i="7"/>
  <c r="J49" i="7"/>
  <c r="J65" i="7"/>
  <c r="J75" i="7"/>
  <c r="J66" i="7"/>
  <c r="J50" i="7"/>
  <c r="I30" i="6"/>
  <c r="I18" i="6"/>
  <c r="I5" i="6"/>
  <c r="I19" i="6"/>
  <c r="I47" i="6"/>
  <c r="I60" i="6"/>
  <c r="I61" i="6"/>
  <c r="I6" i="6"/>
  <c r="I20" i="6"/>
  <c r="I66" i="6"/>
  <c r="I32" i="6"/>
  <c r="I62" i="6"/>
  <c r="I33" i="6"/>
  <c r="I34" i="6"/>
  <c r="I35" i="6"/>
  <c r="I7" i="6"/>
  <c r="I8" i="6"/>
  <c r="I21" i="6"/>
  <c r="I2" i="6"/>
  <c r="I36" i="6"/>
  <c r="I37" i="6"/>
  <c r="I38" i="6"/>
  <c r="I3" i="6"/>
  <c r="I39" i="6"/>
  <c r="I40" i="6"/>
  <c r="I48" i="6"/>
  <c r="I49" i="6"/>
  <c r="I9" i="6"/>
  <c r="I22" i="6"/>
  <c r="I50" i="6"/>
  <c r="I41" i="6"/>
  <c r="I68" i="6"/>
  <c r="I29" i="6"/>
  <c r="I65" i="6"/>
  <c r="I10" i="6"/>
  <c r="I11" i="6"/>
  <c r="I45" i="6"/>
  <c r="I23" i="6"/>
  <c r="I51" i="6"/>
  <c r="I12" i="6"/>
  <c r="I4" i="6"/>
  <c r="I42" i="6"/>
  <c r="I24" i="6"/>
  <c r="I63" i="6"/>
  <c r="I67" i="6"/>
  <c r="I52" i="6"/>
  <c r="I53" i="6"/>
  <c r="I46" i="6"/>
  <c r="I43" i="6"/>
  <c r="I54" i="6"/>
  <c r="I55" i="6"/>
  <c r="I44" i="6"/>
  <c r="I64" i="6"/>
  <c r="I25" i="6"/>
  <c r="I56" i="6"/>
  <c r="I13" i="6"/>
  <c r="I57" i="6"/>
  <c r="I14" i="6"/>
  <c r="I15" i="6"/>
  <c r="I16" i="6"/>
  <c r="I58" i="6"/>
  <c r="I26" i="6"/>
  <c r="I59" i="6"/>
  <c r="I27" i="6"/>
  <c r="I28" i="6"/>
  <c r="I17" i="6"/>
  <c r="H30" i="6"/>
  <c r="H18" i="6"/>
  <c r="H5" i="6"/>
  <c r="H19" i="6"/>
  <c r="H47" i="6"/>
  <c r="H60" i="6"/>
  <c r="H61" i="6"/>
  <c r="H6" i="6"/>
  <c r="H20" i="6"/>
  <c r="H66" i="6"/>
  <c r="H32" i="6"/>
  <c r="H62" i="6"/>
  <c r="H33" i="6"/>
  <c r="H34" i="6"/>
  <c r="H35" i="6"/>
  <c r="H7" i="6"/>
  <c r="H8" i="6"/>
  <c r="H21" i="6"/>
  <c r="H2" i="6"/>
  <c r="H36" i="6"/>
  <c r="H37" i="6"/>
  <c r="H38" i="6"/>
  <c r="H3" i="6"/>
  <c r="H39" i="6"/>
  <c r="H40" i="6"/>
  <c r="H48" i="6"/>
  <c r="H49" i="6"/>
  <c r="H9" i="6"/>
  <c r="H22" i="6"/>
  <c r="H50" i="6"/>
  <c r="H41" i="6"/>
  <c r="H68" i="6"/>
  <c r="H29" i="6"/>
  <c r="H65" i="6"/>
  <c r="H10" i="6"/>
  <c r="H11" i="6"/>
  <c r="H45" i="6"/>
  <c r="H23" i="6"/>
  <c r="H51" i="6"/>
  <c r="H12" i="6"/>
  <c r="H4" i="6"/>
  <c r="H42" i="6"/>
  <c r="H24" i="6"/>
  <c r="H63" i="6"/>
  <c r="H67" i="6"/>
  <c r="H52" i="6"/>
  <c r="H53" i="6"/>
  <c r="H46" i="6"/>
  <c r="H43" i="6"/>
  <c r="H54" i="6"/>
  <c r="H55" i="6"/>
  <c r="H44" i="6"/>
  <c r="H64" i="6"/>
  <c r="H25" i="6"/>
  <c r="H56" i="6"/>
  <c r="H13" i="6"/>
  <c r="H57" i="6"/>
  <c r="H14" i="6"/>
  <c r="H15" i="6"/>
  <c r="H16" i="6"/>
  <c r="H58" i="6"/>
  <c r="H26" i="6"/>
  <c r="H59" i="6"/>
  <c r="H27" i="6"/>
  <c r="H28" i="6"/>
  <c r="H17" i="6"/>
  <c r="F71" i="5"/>
  <c r="F2" i="5"/>
  <c r="F80" i="5" s="1"/>
  <c r="F3" i="5"/>
  <c r="F4" i="5"/>
  <c r="F12" i="5"/>
  <c r="F5" i="5"/>
  <c r="F42" i="5"/>
  <c r="F78" i="5"/>
  <c r="F13" i="5"/>
  <c r="F67" i="5"/>
  <c r="F79" i="5"/>
  <c r="F43" i="5"/>
  <c r="F14" i="5"/>
  <c r="F15" i="5"/>
  <c r="F16" i="5"/>
  <c r="F17" i="5"/>
  <c r="F18" i="5"/>
  <c r="F6" i="5"/>
  <c r="F19" i="5"/>
  <c r="F20" i="5"/>
  <c r="F21" i="5"/>
  <c r="F44" i="5"/>
  <c r="F45" i="5"/>
  <c r="F22" i="5"/>
  <c r="F23" i="5"/>
  <c r="F46" i="5"/>
  <c r="F24" i="5"/>
  <c r="F47" i="5"/>
  <c r="F25" i="5"/>
  <c r="F72" i="5"/>
  <c r="F26" i="5"/>
  <c r="F27" i="5"/>
  <c r="F28" i="5"/>
  <c r="F48" i="5"/>
  <c r="F49" i="5"/>
  <c r="F50" i="5"/>
  <c r="F51" i="5"/>
  <c r="F7" i="5"/>
  <c r="F76" i="5"/>
  <c r="F52" i="5"/>
  <c r="F29" i="5"/>
  <c r="F30" i="5"/>
  <c r="F31" i="5"/>
  <c r="F32" i="5"/>
  <c r="F33" i="5"/>
  <c r="F68" i="5"/>
  <c r="F53" i="5"/>
  <c r="F69" i="5"/>
  <c r="F34" i="5"/>
  <c r="F35" i="5"/>
  <c r="F36" i="5"/>
  <c r="F54" i="5"/>
  <c r="F55" i="5"/>
  <c r="F37" i="5"/>
  <c r="F56" i="5"/>
  <c r="F74" i="5"/>
  <c r="F38" i="5"/>
  <c r="F39" i="5"/>
  <c r="F77" i="5"/>
  <c r="F70" i="5"/>
  <c r="F40" i="5"/>
  <c r="F57" i="5"/>
  <c r="F73" i="5"/>
  <c r="F8" i="5"/>
  <c r="F58" i="5"/>
  <c r="F59" i="5"/>
  <c r="F75" i="5"/>
  <c r="F60" i="5"/>
  <c r="F9" i="5"/>
  <c r="F41" i="5"/>
  <c r="F61" i="5"/>
  <c r="F62" i="5"/>
  <c r="F63" i="5"/>
  <c r="F64" i="5"/>
  <c r="F10" i="5"/>
  <c r="F65" i="5"/>
  <c r="F66" i="5"/>
  <c r="F11" i="5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E71" i="2" l="1"/>
  <c r="D56" i="8"/>
  <c r="K83" i="7"/>
  <c r="I69" i="6"/>
  <c r="C69" i="6"/>
  <c r="D69" i="6"/>
  <c r="E69" i="6"/>
  <c r="F69" i="6"/>
  <c r="G69" i="6"/>
  <c r="B6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<sst xmlns="http://schemas.openxmlformats.org/spreadsheetml/2006/main" count="1113" uniqueCount="317">
  <si>
    <t>Localidad</t>
  </si>
  <si>
    <t>PUS-CT</t>
  </si>
  <si>
    <t>Coordenadas</t>
  </si>
  <si>
    <t>Especie</t>
  </si>
  <si>
    <t>Crypturellus cinnamomeus</t>
  </si>
  <si>
    <t>Cairina moschata</t>
  </si>
  <si>
    <t>Ortalis vetula</t>
  </si>
  <si>
    <t>Penelope purpurascens</t>
  </si>
  <si>
    <t>Crax rubra</t>
  </si>
  <si>
    <t>Meleagris ocellata</t>
  </si>
  <si>
    <t>Patagioenas speciosa</t>
  </si>
  <si>
    <t>Patagioenas flavirostris</t>
  </si>
  <si>
    <t>Claravis pretiosa</t>
  </si>
  <si>
    <t>Leptotila verreauxi</t>
  </si>
  <si>
    <t>Leptotila jamaicensis</t>
  </si>
  <si>
    <t>Leptotila plumbeiceps</t>
  </si>
  <si>
    <t>Dromococcyx phasianellus</t>
  </si>
  <si>
    <t>Piaya cayana</t>
  </si>
  <si>
    <t>Coccyzus americanus</t>
  </si>
  <si>
    <t>Nyctidromus albicollis</t>
  </si>
  <si>
    <t>Nyctiphrynus yucatanicus</t>
  </si>
  <si>
    <t>Antrostomus badius</t>
  </si>
  <si>
    <t>Archilochus colubris</t>
  </si>
  <si>
    <t>Cynanthus canivetii</t>
  </si>
  <si>
    <t>Amazilia yucatanensis</t>
  </si>
  <si>
    <t>Amazilia tzacatl</t>
  </si>
  <si>
    <t>Chlorestes candida</t>
  </si>
  <si>
    <t>Aramides albiventris</t>
  </si>
  <si>
    <t>Coragyps atratus</t>
  </si>
  <si>
    <t>Cathartes aura</t>
  </si>
  <si>
    <t>Spizaetus ornatus</t>
  </si>
  <si>
    <t>Accipiter bicolor</t>
  </si>
  <si>
    <t>Rupornis magnirostris</t>
  </si>
  <si>
    <t>Megascops guatemalae</t>
  </si>
  <si>
    <t>Glaucidium brasilianum</t>
  </si>
  <si>
    <t>Strix virgata</t>
  </si>
  <si>
    <t>Trogon melanocephalus</t>
  </si>
  <si>
    <t>Trogon caligatus</t>
  </si>
  <si>
    <t>Trogon collaris</t>
  </si>
  <si>
    <t>Pteroglossus torquatus</t>
  </si>
  <si>
    <t>Ramphastos sulfuratus</t>
  </si>
  <si>
    <t>Melanerpes aurifrons</t>
  </si>
  <si>
    <t>Dryobates fumigatus</t>
  </si>
  <si>
    <t>Campephilus guatemalensis</t>
  </si>
  <si>
    <t>Dryocopus lineatus</t>
  </si>
  <si>
    <t>Celeus castaneus</t>
  </si>
  <si>
    <t>Micrastur semitorquatus</t>
  </si>
  <si>
    <t>Pionus senilis</t>
  </si>
  <si>
    <t>Amazona autumnalis</t>
  </si>
  <si>
    <t>Amazona albifrons</t>
  </si>
  <si>
    <t>Amazona xantholora</t>
  </si>
  <si>
    <t>Eupsittula nana</t>
  </si>
  <si>
    <t>Thamnophilus doliatus</t>
  </si>
  <si>
    <t>Formicarius moniliger</t>
  </si>
  <si>
    <t>Sittasomus griseicapillus</t>
  </si>
  <si>
    <t>Dendrocincla homochroa</t>
  </si>
  <si>
    <t>Dendrocincla anabatina</t>
  </si>
  <si>
    <t>Dendrocolaptes sanctithomae</t>
  </si>
  <si>
    <t>Xiphorhynchus flavigaster</t>
  </si>
  <si>
    <t>Ceratopipra mentalis</t>
  </si>
  <si>
    <t>Pachyramphus aglaiae</t>
  </si>
  <si>
    <t>Onychorhynchus coronatus</t>
  </si>
  <si>
    <t>Platyrinchus cancrominus</t>
  </si>
  <si>
    <t>Oncostoma cinereigulare</t>
  </si>
  <si>
    <t>Rhynchocyclus brevirostris</t>
  </si>
  <si>
    <t>Tolmomyias sulphurescens</t>
  </si>
  <si>
    <t>Camptostoma imberbe</t>
  </si>
  <si>
    <t>Myiopagis viridicata</t>
  </si>
  <si>
    <t>Contopus virens</t>
  </si>
  <si>
    <t>Contopus cinereus</t>
  </si>
  <si>
    <t>Empidonax minimus</t>
  </si>
  <si>
    <t>Attila spadiceus</t>
  </si>
  <si>
    <t>Myiarchus yucatanensis</t>
  </si>
  <si>
    <t>Myiarchus crinitus</t>
  </si>
  <si>
    <t>Myiarchus tyrannulus</t>
  </si>
  <si>
    <t>Megarynchus pitangua</t>
  </si>
  <si>
    <t>Myiozetetes similis</t>
  </si>
  <si>
    <t>Myiodynastes maculatus</t>
  </si>
  <si>
    <t>Legatus leucophaius</t>
  </si>
  <si>
    <t>Tyrannus melancholicus</t>
  </si>
  <si>
    <t>Tyrannus couchii</t>
  </si>
  <si>
    <t>Tyrannus tyrannus</t>
  </si>
  <si>
    <t>Cyclarhis gujanensis</t>
  </si>
  <si>
    <t>Tunchiornis ochraceiceps</t>
  </si>
  <si>
    <t>Pachysylvia decurtata</t>
  </si>
  <si>
    <t>Vireo pallens</t>
  </si>
  <si>
    <t>Vireo flavifrons</t>
  </si>
  <si>
    <t>Vireo olivaceus</t>
  </si>
  <si>
    <t>Vireo flavoviridis</t>
  </si>
  <si>
    <t>Psilorhinus morio</t>
  </si>
  <si>
    <t>Cyanocorax yncas</t>
  </si>
  <si>
    <t>Cyanocorax yucatanicus</t>
  </si>
  <si>
    <t>Progne chalybea</t>
  </si>
  <si>
    <t>Hirundo rustica</t>
  </si>
  <si>
    <t>Petrochelidon fulva</t>
  </si>
  <si>
    <t>Ramphocaenus melanurus</t>
  </si>
  <si>
    <t>Polioptila bilineata</t>
  </si>
  <si>
    <t>Polioptila caerulea</t>
  </si>
  <si>
    <t>Troglodytes aedon</t>
  </si>
  <si>
    <t>Thryothorus ludovicianus</t>
  </si>
  <si>
    <t>Pheugopedius maculipectus</t>
  </si>
  <si>
    <t>Uropsila leucogastra</t>
  </si>
  <si>
    <t>Melanoptila glabrirostris</t>
  </si>
  <si>
    <t>Dumetella carolinensis</t>
  </si>
  <si>
    <t>Mimus gilvus</t>
  </si>
  <si>
    <t>Catharus ustulatus</t>
  </si>
  <si>
    <t>Hylocichla mustelina</t>
  </si>
  <si>
    <t>Turdus grayi</t>
  </si>
  <si>
    <t>Euphonia affinis</t>
  </si>
  <si>
    <t>Euphonia hirundinacea</t>
  </si>
  <si>
    <t>Spinus psaltria</t>
  </si>
  <si>
    <t>Arremonops rufivirgatus</t>
  </si>
  <si>
    <t>Arremonops chloronotus</t>
  </si>
  <si>
    <t>Amblycercus holosericeus</t>
  </si>
  <si>
    <t>Psarocolius montezuma</t>
  </si>
  <si>
    <t>Icterus prosthemelas</t>
  </si>
  <si>
    <t>Icterus spurius</t>
  </si>
  <si>
    <t>Icterus cucullatus</t>
  </si>
  <si>
    <t>Icterus chrysater</t>
  </si>
  <si>
    <t>Icterus mesomelas</t>
  </si>
  <si>
    <t>Icterus auratus</t>
  </si>
  <si>
    <t>Icterus galbula</t>
  </si>
  <si>
    <t>Agelaius phoeniceus</t>
  </si>
  <si>
    <t>Molothrus aeneus</t>
  </si>
  <si>
    <t>Dives dives</t>
  </si>
  <si>
    <t>Quiscalus mexicanus</t>
  </si>
  <si>
    <t>Seiurus aurocapilla</t>
  </si>
  <si>
    <t>Parkesia noveboracensis</t>
  </si>
  <si>
    <t>Mniotilta varia</t>
  </si>
  <si>
    <t>Leiothlypis peregrina</t>
  </si>
  <si>
    <t>Geothlypis poliocephala</t>
  </si>
  <si>
    <t>Geothlypis philadelphia</t>
  </si>
  <si>
    <t>Geothlypis trichas</t>
  </si>
  <si>
    <t>Setophaga ruticilla</t>
  </si>
  <si>
    <t>Setophaga citrina</t>
  </si>
  <si>
    <t>Setophaga magnolia</t>
  </si>
  <si>
    <t>Setophaga castanea</t>
  </si>
  <si>
    <t>Setophaga fusca</t>
  </si>
  <si>
    <t>Setophaga petechia</t>
  </si>
  <si>
    <t>Setophaga pensylvanica</t>
  </si>
  <si>
    <t>Basileuterus culicivorus</t>
  </si>
  <si>
    <t>Piranga roseogularis</t>
  </si>
  <si>
    <t>Piranga rubra</t>
  </si>
  <si>
    <t>Habia rubica</t>
  </si>
  <si>
    <t>Habia fuscicauda</t>
  </si>
  <si>
    <t>Cardinalis cardinalis</t>
  </si>
  <si>
    <t>Pheucticus ludovicianus</t>
  </si>
  <si>
    <t>Granatellus sallaei</t>
  </si>
  <si>
    <t>Cyanocompsa parellina</t>
  </si>
  <si>
    <t>Passerina caerulea</t>
  </si>
  <si>
    <t>Passerina cyanea</t>
  </si>
  <si>
    <t>Spiza americana</t>
  </si>
  <si>
    <t>Eucometis penicillata</t>
  </si>
  <si>
    <t>Thraupis episcopus</t>
  </si>
  <si>
    <t>Cyanerpes cyaneus</t>
  </si>
  <si>
    <t>Volatinia jacarina</t>
  </si>
  <si>
    <t>Sporophila morelleti</t>
  </si>
  <si>
    <t>Tiaris olivaceus</t>
  </si>
  <si>
    <t>Saltator atriceps</t>
  </si>
  <si>
    <t>Saltator grandis</t>
  </si>
  <si>
    <t>Tinamus major</t>
  </si>
  <si>
    <t>Dendrocygna autumnalis</t>
  </si>
  <si>
    <t>Jacana spinosa</t>
  </si>
  <si>
    <t>Colinus nigrogularis</t>
  </si>
  <si>
    <t>Dactylortyx thoracicus</t>
  </si>
  <si>
    <t>Tachybaptus dominicus</t>
  </si>
  <si>
    <t>Columba livia</t>
  </si>
  <si>
    <t>Streptopelia decaocto</t>
  </si>
  <si>
    <t>Columbina passerina</t>
  </si>
  <si>
    <t>Columbina minuta</t>
  </si>
  <si>
    <t>Columbina talpacoti</t>
  </si>
  <si>
    <t>Zenaida asiatica</t>
  </si>
  <si>
    <t>Crotophaga sulcirostris</t>
  </si>
  <si>
    <t>Tapera naevia</t>
  </si>
  <si>
    <t>Chordeiles minor</t>
  </si>
  <si>
    <t>Nyctibius jamaicensis</t>
  </si>
  <si>
    <t>Chaetura vauxi</t>
  </si>
  <si>
    <t>Pampa curvipennis</t>
  </si>
  <si>
    <t>Amazilia rutila</t>
  </si>
  <si>
    <t>Aramus guarauna</t>
  </si>
  <si>
    <t>Actitis macularius</t>
  </si>
  <si>
    <t>Mycteria americana</t>
  </si>
  <si>
    <t>Anhinga anhinga</t>
  </si>
  <si>
    <t>Tigrisoma mexicanum</t>
  </si>
  <si>
    <t>Ardea alba</t>
  </si>
  <si>
    <t>Bubulcus ibis</t>
  </si>
  <si>
    <t>Butorides virescens</t>
  </si>
  <si>
    <t>Agamia agami</t>
  </si>
  <si>
    <t>Nycticorax nycticorax</t>
  </si>
  <si>
    <t>Nytanassa violacea</t>
  </si>
  <si>
    <t>Cochlearius cochlearius</t>
  </si>
  <si>
    <t>Sarcoramphus papa</t>
  </si>
  <si>
    <t>Chondrohierax uncinatus</t>
  </si>
  <si>
    <t>Leptodon cayanensis</t>
  </si>
  <si>
    <t>Ictinia plumbea</t>
  </si>
  <si>
    <t>Buteogallus urubitinga</t>
  </si>
  <si>
    <t>Buteo plagiatus</t>
  </si>
  <si>
    <t>Buteo albonotatus</t>
  </si>
  <si>
    <t>Bubo virginianus</t>
  </si>
  <si>
    <t>Momotus lessonii</t>
  </si>
  <si>
    <t>Eumomota superciliosa</t>
  </si>
  <si>
    <t>Megaceryle torquata</t>
  </si>
  <si>
    <t>Chloroceryle aenea</t>
  </si>
  <si>
    <t>Chloroceryle americana</t>
  </si>
  <si>
    <t>Notharchus hyperrhynchus</t>
  </si>
  <si>
    <t>Melanerpes pygmaeus</t>
  </si>
  <si>
    <t>Dryobates scalaris</t>
  </si>
  <si>
    <t>Colaptes rubiginosus</t>
  </si>
  <si>
    <t>Herpetotheres cachinnans</t>
  </si>
  <si>
    <t>Xenops minutus</t>
  </si>
  <si>
    <t>Synallaxis erythrothorax</t>
  </si>
  <si>
    <t>Tityra semifasciata</t>
  </si>
  <si>
    <t>Schiffornis veraepacis</t>
  </si>
  <si>
    <t>Pachyramphus major</t>
  </si>
  <si>
    <t>Mionectes oleagineus</t>
  </si>
  <si>
    <t>Leptopogon amaurocephalus</t>
  </si>
  <si>
    <t>Poecilotriccus sylvia</t>
  </si>
  <si>
    <t>Todirostrum cinereum</t>
  </si>
  <si>
    <t>Elaenia flavogaster</t>
  </si>
  <si>
    <t>Empidonax flaviventris</t>
  </si>
  <si>
    <t>Empidonax virescens</t>
  </si>
  <si>
    <t>Myiarchus tuberculifer</t>
  </si>
  <si>
    <t>Pitangus sulphuratus</t>
  </si>
  <si>
    <t>Myiodynastes luteiventris</t>
  </si>
  <si>
    <t>FELA-CT</t>
  </si>
  <si>
    <t>CRCO-01</t>
  </si>
  <si>
    <t>CRCO-02</t>
  </si>
  <si>
    <t>CRCO-03</t>
  </si>
  <si>
    <t>CRCO-04</t>
  </si>
  <si>
    <t>CRCO-05</t>
  </si>
  <si>
    <t>CRCO-CT</t>
  </si>
  <si>
    <t>18.215061, -89.463175</t>
  </si>
  <si>
    <t>18.173029, -89.474679</t>
  </si>
  <si>
    <t>18.165544, -89.481806</t>
  </si>
  <si>
    <t>18.174607, -89.476989</t>
  </si>
  <si>
    <t>18.189620, -89.464608</t>
  </si>
  <si>
    <t>CCR-CT</t>
  </si>
  <si>
    <t>Parkesia motacilla</t>
  </si>
  <si>
    <t>CHEK-CT</t>
  </si>
  <si>
    <t>Spizaetus melanoleucus</t>
  </si>
  <si>
    <t>Vireolanius pulchellus</t>
  </si>
  <si>
    <t>Spizaetus sp.</t>
  </si>
  <si>
    <t>CHCH-CT</t>
  </si>
  <si>
    <t>Buteo brachyurus</t>
  </si>
  <si>
    <t>Geococcyx velox</t>
  </si>
  <si>
    <t>Tyrannus savanna</t>
  </si>
  <si>
    <t>Icterus gularis</t>
  </si>
  <si>
    <t>XBEN-01</t>
  </si>
  <si>
    <t>XBEN-02</t>
  </si>
  <si>
    <t>XBEN-03</t>
  </si>
  <si>
    <t>XBEN-CT</t>
  </si>
  <si>
    <t>19.334099, -89.146728</t>
  </si>
  <si>
    <t>19.285004, -89.225775</t>
  </si>
  <si>
    <t>XCHA-CT</t>
  </si>
  <si>
    <t>FRMU-CT</t>
  </si>
  <si>
    <t>125 spp. totales</t>
  </si>
  <si>
    <t>69 spp. totales</t>
  </si>
  <si>
    <t>84 spp. Totales</t>
  </si>
  <si>
    <t>68 spp. totales</t>
  </si>
  <si>
    <t>78 spp. totales</t>
  </si>
  <si>
    <t>66 spp. totales</t>
  </si>
  <si>
    <t>81 spp. totales</t>
  </si>
  <si>
    <t>54 spp. totales</t>
  </si>
  <si>
    <t>63 spp. totales</t>
  </si>
  <si>
    <t>57 spp. totales</t>
  </si>
  <si>
    <t>Patagioenas cayanensis</t>
  </si>
  <si>
    <t>Busarellus nigricollis</t>
  </si>
  <si>
    <t xml:space="preserve">DATA COLLECTED BY Ismael Arellano </t>
  </si>
  <si>
    <t>dry forest spp richness</t>
  </si>
  <si>
    <t>savanna spp richness</t>
  </si>
  <si>
    <t>Species dry forest</t>
  </si>
  <si>
    <t>species  savanna</t>
  </si>
  <si>
    <t>19 of these species are different than the ones found in savanna</t>
  </si>
  <si>
    <t>total spp</t>
  </si>
  <si>
    <t>species savanna</t>
  </si>
  <si>
    <t>Localidad y Coordenadas</t>
  </si>
  <si>
    <t xml:space="preserve">CHEK-01 - dry forests - 19.184637, -89.168620 </t>
  </si>
  <si>
    <t>CHEK-02 - Savanna - 19.176281, -89.163173</t>
  </si>
  <si>
    <t>CHEK-03 - Dry forests - 19.178352, -89.170081</t>
  </si>
  <si>
    <t>CHEK-04 - Savanna - 19.181304, -89.169420</t>
  </si>
  <si>
    <t>CHEK-05 - Savanna - 19.170205, -89.181752</t>
  </si>
  <si>
    <t>CHCH-01 - savanna - 19.221117, -89.207271</t>
  </si>
  <si>
    <t>CHCH-02 - savanna - 19.225613, -89.220335</t>
  </si>
  <si>
    <t>CHCH-03 - dry forests - 19.019331, -89.188161</t>
  </si>
  <si>
    <t>CHCH-04 - dry forests - 19.053414, -89.215027</t>
  </si>
  <si>
    <t>CHCH-05 Dry forests - 19.061190, -89.222929</t>
  </si>
  <si>
    <t>CHCH-06 - Dry forests - 19.036292, -89.202278</t>
  </si>
  <si>
    <t>CHCH-07 - dry forests - 19.037404, -89.195481</t>
  </si>
  <si>
    <t>XCHA-01 dry forests - 19.091831, -89.428484</t>
  </si>
  <si>
    <t>XCHA-02 dry forests - 19.075331, -89.443065</t>
  </si>
  <si>
    <t xml:space="preserve">CABCH-01 - dry forests -19.149371, -89.636869 </t>
  </si>
  <si>
    <t xml:space="preserve">CABCH-02 - dry forests -19.156744, -89.631976 </t>
  </si>
  <si>
    <t>total species</t>
  </si>
  <si>
    <t>total spp richness</t>
  </si>
  <si>
    <t xml:space="preserve">FRMU-01 - dry forests -19.305722, -89.755194 </t>
  </si>
  <si>
    <t>FRMU-02 - dry forests - 19.267623, -89.746766</t>
  </si>
  <si>
    <t>MCR-01 - dry forests - 17.941387, -89.198684</t>
  </si>
  <si>
    <t>MCR-02 - dry forests - 17.935103, -89.194651</t>
  </si>
  <si>
    <t>MCR-03 - dry forests - 17.930516, -89.196236</t>
  </si>
  <si>
    <t>FELA-01 - dry forests - 18.202463, -89.252240</t>
  </si>
  <si>
    <t>FELA-02 - dry forests - 18.208051, -89.252597</t>
  </si>
  <si>
    <t>FELA-03 - dry forests - 18.217467, -89.251746</t>
  </si>
  <si>
    <t>FELA-04 - dry forests - 18.229333, -89.251451</t>
  </si>
  <si>
    <t>YOTUN-01 - dry forests - 17.917807, -89.689331</t>
  </si>
  <si>
    <t>YOTUN-02 - dry forests - 17.914182, -89.687784</t>
  </si>
  <si>
    <t>YOTUN-03 - dry forests - 17.912971, -89.690160</t>
  </si>
  <si>
    <t>PUS-01 - dry forests - 18°11'45.4"N 90°04'32.1"W</t>
  </si>
  <si>
    <t>PUS-02 - dry forests - 18.187159, -90.078824</t>
  </si>
  <si>
    <t>PUS-03 - dry forests - 18.183375, -90.078203</t>
  </si>
  <si>
    <t>PUS-04 - dry forests - 18.179137, -90.077306</t>
  </si>
  <si>
    <t>PUS-05 - dry forests - 18°10'31.7"N 90°04'35.2</t>
  </si>
  <si>
    <t>PUS-06 - dry forests - 18.175376, -90.076428</t>
  </si>
  <si>
    <t>PUS-07 - dry forests - 18.170059, -90.075232</t>
  </si>
  <si>
    <t>PUS-08 - dry forests - 18.165890, -90.074155</t>
  </si>
  <si>
    <t>Dry forest species</t>
  </si>
  <si>
    <t>Species Missing in Dry Forests</t>
  </si>
  <si>
    <t>Species missing from Dry forests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</si>
</sst>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1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3" xfId="0" applyBorder="1"/>
    <xf numFmtId="0" fontId="0" fillId="0" borderId="0" xfId="0" applyAlignment="1">
      <alignment wrapText="1"/>
    </xf>
    <xf numFmtId="0" fontId="0" fillId="2" borderId="3" xfId="0" applyFill="1" applyBorder="1"/>
    <xf numFmtId="0" fontId="3" fillId="2" borderId="0" xfId="1" applyFont="1" applyFill="1"/>
    <xf numFmtId="0" fontId="1" fillId="0" borderId="0" xfId="0" applyFont="1" applyAlignment="1">
      <alignment wrapText="1"/>
    </xf>
    <xf numFmtId="0" fontId="5" fillId="0" borderId="0" xfId="0" applyFont="1"/>
    <xf numFmtId="0" fontId="0" fillId="2" borderId="0" xfId="1" applyFont="1" applyFill="1"/>
    <xf numFmtId="0" fontId="3" fillId="0" borderId="0" xfId="0" applyFont="1"/>
    <xf numFmtId="0" fontId="3" fillId="0" borderId="0" xfId="1" applyFont="1" applyBorder="1"/>
  </cellXfs>
  <cellStyles count="2">
    <cellStyle name="Hyperlink" xfId="1" builtinId="8"/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14A123-D9AD-4152-9983-81092E2389BB}" name="Table9" displayName="Table9" ref="A1:K126" totalsRowShown="0" headerRowDxfId="8">
  <autoFilter ref="A1:K126" xr:uid="{8414A123-D9AD-4152-9983-81092E2389BB}"/>
  <tableColumns count="11">
    <tableColumn id="1" xr3:uid="{1E06BA59-6DA7-40A4-9BA7-E6A86A17791E}" name="Localidad"/>
    <tableColumn id="2" xr3:uid="{BB696EAB-1B8C-4994-93E2-09A3E40DE529}" name="PUS-01 - dry forests - 18°11'45.4&quot;N 90°04'32.1&quot;W"/>
    <tableColumn id="3" xr3:uid="{67B279D6-7EF4-40BF-8F4B-0CEB7529CC47}" name="PUS-02 - dry forests - 18.187159, -90.078824"/>
    <tableColumn id="4" xr3:uid="{98469764-03F6-415C-99AF-71F910C99671}" name="PUS-03 - dry forests - 18.183375, -90.078203"/>
    <tableColumn id="5" xr3:uid="{2BF5024E-99E2-454E-B6E6-5FDC5DB4E13E}" name="PUS-04 - dry forests - 18.179137, -90.077306"/>
    <tableColumn id="6" xr3:uid="{BC14527C-EBB9-4F22-AD53-B9C0180A099E}" name="PUS-05 - dry forests - 18°10'31.7&quot;N 90°04'35.2"/>
    <tableColumn id="7" xr3:uid="{E472F64D-D6D1-4CA3-81BB-492EE4252092}" name="PUS-06 - dry forests - 18.175376, -90.076428"/>
    <tableColumn id="8" xr3:uid="{53EB1231-EB53-43F9-AC75-1CC15058D957}" name="PUS-07 - dry forests - 18.170059, -90.075232"/>
    <tableColumn id="9" xr3:uid="{FD1FE42F-869E-4776-BB5E-50E72137BD46}" name="PUS-08 - dry forests - 18.165890, -90.074155"/>
    <tableColumn id="10" xr3:uid="{E9C6FC82-42D6-426C-B32B-7D980EBA1B87}" name="PUS-CT"/>
    <tableColumn id="11" xr3:uid="{859BCE06-8C76-49A9-A7CD-2B2651186B53}" name="total spp">
      <calculatedColumnFormula>SUM(B2:I2)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C6503B-547F-4412-8B17-7234F17F301C}" name="Table8" displayName="Table8" ref="A1:E70" totalsRowShown="0" headerRowDxfId="7">
  <autoFilter ref="A1:E70" xr:uid="{92C6503B-547F-4412-8B17-7234F17F301C}"/>
  <tableColumns count="5">
    <tableColumn id="1" xr3:uid="{02368BCB-D8E4-47AB-B8F1-0CAB1CFADA2F}" name="Localidad"/>
    <tableColumn id="2" xr3:uid="{99AA6E00-CBBB-4B46-8314-69B366658F96}" name="YOTUN-01 - dry forests - 17.917807, -89.689331"/>
    <tableColumn id="3" xr3:uid="{27937756-F1CB-49AA-B156-9AAECCBA8733}" name="YOTUN-02 - dry forests - 17.914182, -89.687784"/>
    <tableColumn id="4" xr3:uid="{4FA66ED4-6183-4D5F-9FA8-257D82A685F1}" name="YOTUN-03 - dry forests - 17.912971, -89.690160"/>
    <tableColumn id="5" xr3:uid="{86ADC723-8B68-42A3-9377-F2626E437BDB}" name="total spp">
      <calculatedColumnFormula>SUM(B2:D2)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F70066-23CB-424A-9390-019C001E3752}" name="Table7" displayName="Table7" ref="A1:G84" totalsRowShown="0" headerRowDxfId="6">
  <autoFilter ref="A1:G84" xr:uid="{9CF70066-23CB-424A-9390-019C001E3752}"/>
  <tableColumns count="7">
    <tableColumn id="1" xr3:uid="{1A5D3FA7-1C1C-4867-BC77-6E338F67C933}" name="Localidad"/>
    <tableColumn id="2" xr3:uid="{E1602E8F-A889-4265-B57F-6BF1BE896BFC}" name="FELA-01 - dry forests - 18.202463, -89.252240"/>
    <tableColumn id="3" xr3:uid="{CF29A5A5-D0D2-4A02-8432-9C0AAB352237}" name="FELA-02 - dry forests - 18.208051, -89.252597"/>
    <tableColumn id="4" xr3:uid="{B601F955-BDDE-4F11-B1E6-BC1ECE49E463}" name="FELA-03 - dry forests - 18.217467, -89.251746"/>
    <tableColumn id="5" xr3:uid="{7C7FB4DE-63BF-4422-BCF3-870456E6DE0A}" name="FELA-04 - dry forests - 18.229333, -89.251451"/>
    <tableColumn id="6" xr3:uid="{4899683F-A404-479C-8244-AAC4E34E3700}" name="FELA-CT"/>
    <tableColumn id="7" xr3:uid="{D96172CC-B320-40A4-9BEE-AE510498BAD4}" name="total spp" dataDxfId="5">
      <calculatedColumnFormula>SUM(Table7[[#This Row],[FELA-01 - dry forests - 18.202463, -89.252240]:[FELA-04 - dry forests - 18.229333, -89.251451]])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224E76-69CB-4976-9A79-BEBF39EC94C6}" name="Table6" displayName="Table6" ref="A1:F79" totalsRowShown="0" headerRowDxfId="4">
  <autoFilter ref="A1:F79" xr:uid="{0A224E76-69CB-4976-9A79-BEBF39EC94C6}"/>
  <tableColumns count="6">
    <tableColumn id="1" xr3:uid="{049C566C-5C35-47E5-A1E5-8A2D5B5ABF25}" name="Localidad"/>
    <tableColumn id="2" xr3:uid="{F1BB170B-D32D-4DF7-AF5C-C32C33121E65}" name="MCR-01 - dry forests - 17.941387, -89.198684"/>
    <tableColumn id="3" xr3:uid="{CD271AD4-E12F-4F9D-95A3-EB98B2E56476}" name="MCR-02 - dry forests - 17.935103, -89.194651"/>
    <tableColumn id="4" xr3:uid="{A2CB7A97-6BDD-4695-A756-EFCE5FB70845}" name="MCR-03 - dry forests - 17.930516, -89.196236"/>
    <tableColumn id="5" xr3:uid="{EE052117-BAD2-4D81-A89E-189DD4E6B3A2}" name="CCR-CT"/>
    <tableColumn id="6" xr3:uid="{2A61C396-9ED3-4CA8-9C85-188A977B65D6}" name="total spp">
      <calculatedColumnFormula>SUM(B2:D2)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8FDAA-C850-41CC-B7DA-5CF4E14AB84A}" name="Table1" displayName="Table1" ref="A1:I68" totalsRowShown="0">
  <autoFilter ref="A1:I68" xr:uid="{60B8FDAA-C850-41CC-B7DA-5CF4E14AB84A}"/>
  <sortState xmlns:xlrd2="http://schemas.microsoft.com/office/spreadsheetml/2017/richdata2" ref="A2:I68">
    <sortCondition ref="I2:I68"/>
  </sortState>
  <tableColumns count="9">
    <tableColumn id="1" xr3:uid="{AC005A07-15D1-490A-83C4-37AA362C45C9}" name="Localidad y Coordenadas"/>
    <tableColumn id="2" xr3:uid="{F4AE4CCA-3E0D-44E0-909A-7923C47C019C}" name="CHEK-01 - dry forests - 19.184637, -89.168620 "/>
    <tableColumn id="3" xr3:uid="{C920E7A3-AAC0-484A-BF7A-FE6F3254D9CD}" name="CHEK-02 - Savanna - 19.176281, -89.163173"/>
    <tableColumn id="4" xr3:uid="{471907E3-0B7F-4734-950E-2A75298EF67C}" name="CHEK-03 - Dry forests - 19.178352, -89.170081"/>
    <tableColumn id="5" xr3:uid="{E67DCB55-A914-49FA-BD19-3E377DFEFCCF}" name="CHEK-04 - Savanna - 19.181304, -89.169420"/>
    <tableColumn id="6" xr3:uid="{384B9151-AA9D-498E-9B00-CA625023176C}" name="CHEK-05 - Savanna - 19.170205, -89.181752"/>
    <tableColumn id="7" xr3:uid="{44FB32B2-466B-4272-AFE9-A98A1153A5DE}" name="CHEK-CT"/>
    <tableColumn id="8" xr3:uid="{007F5B20-BE29-45EF-8C83-9F5D93CAFB22}" name="Species dry forest">
      <calculatedColumnFormula>SUM(B2,D2)</calculatedColumnFormula>
    </tableColumn>
    <tableColumn id="9" xr3:uid="{10661506-8CE3-45A1-A189-BA12CDACE5F1}" name="species  savanna">
      <calculatedColumnFormula>SUM(C2,E2,F2)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EEEF18-5F57-4394-AA18-042600E52D3A}" name="Table2" displayName="Table2" ref="A1:K82" totalsRowShown="0" headerRowDxfId="3">
  <autoFilter ref="A1:K82" xr:uid="{2EEEEF18-5F57-4394-AA18-042600E52D3A}"/>
  <sortState xmlns:xlrd2="http://schemas.microsoft.com/office/spreadsheetml/2017/richdata2" ref="A2:K82">
    <sortCondition ref="J2:J82"/>
  </sortState>
  <tableColumns count="11">
    <tableColumn id="1" xr3:uid="{23B73E7D-42E6-42D4-9961-3DFB714B3EB2}" name="Localidad"/>
    <tableColumn id="2" xr3:uid="{1056C515-85D2-4D1C-80DA-A6CDDD714ADB}" name="CHCH-01 - savanna - 19.221117, -89.207271"/>
    <tableColumn id="3" xr3:uid="{87E99024-24C3-42AF-8025-9498DAA5B6E0}" name="CHCH-02 - savanna - 19.225613, -89.220335"/>
    <tableColumn id="4" xr3:uid="{92F1B7C3-8336-42D8-8F74-A866F94B2447}" name="CHCH-03 - dry forests - 19.019331, -89.188161"/>
    <tableColumn id="5" xr3:uid="{E13BC588-6459-4C5C-AC68-598DA36554C0}" name="CHCH-04 - dry forests - 19.053414, -89.215027"/>
    <tableColumn id="6" xr3:uid="{8618B554-642F-49E7-9013-0340317836FD}" name="CHCH-05 Dry forests - 19.061190, -89.222929"/>
    <tableColumn id="7" xr3:uid="{DA7DFB22-9F60-4E16-8B60-11E2C0A8C0FA}" name="CHCH-06 - Dry forests - 19.036292, -89.202278"/>
    <tableColumn id="8" xr3:uid="{D6A1A003-1C0B-4B0E-9BFC-9987C54A21EE}" name="CHCH-07 - dry forests - 19.037404, -89.195481"/>
    <tableColumn id="9" xr3:uid="{22D70F24-9BE9-47EB-8DCA-0FFD40B728F8}" name="CHCH-CT"/>
    <tableColumn id="10" xr3:uid="{F1397379-1DDD-4151-A81C-E959B65678FC}" name="dry forest spp richness">
      <calculatedColumnFormula>SUM(D2:H2)</calculatedColumnFormula>
    </tableColumn>
    <tableColumn id="11" xr3:uid="{F6214BA5-D896-4BCD-B6A3-8F1F8BB2C009}" name="savanna spp richness">
      <calculatedColumnFormula>SUM(B2:C2)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909850-A693-4D9D-9976-50678BA8C2CA}" name="Table3" displayName="Table3" ref="A1:D55" totalsRowShown="0" headerRowDxfId="2">
  <autoFilter ref="A1:D55" xr:uid="{2F909850-A693-4D9D-9976-50678BA8C2CA}"/>
  <tableColumns count="4">
    <tableColumn id="1" xr3:uid="{6E134EFF-3E90-4E36-9C6D-2E0F2E4F95A8}" name="Localidad"/>
    <tableColumn id="2" xr3:uid="{9724622F-11A8-40E2-B0E8-A302CF9486B0}" name="CABCH-01 - dry forests -19.149371, -89.636869 "/>
    <tableColumn id="3" xr3:uid="{74A8BE3D-8E78-42C2-9F8D-A4AEB315034D}" name="CABCH-02 - dry forests -19.156744, -89.631976 "/>
    <tableColumn id="4" xr3:uid="{DED82DE6-70C9-4D7F-9068-FD49FBD5DB62}" name="total species">
      <calculatedColumnFormula>SUM(B2:C2)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791CD8-7172-4ABA-9A31-D2F66AABED08}" name="Table4" displayName="Table4" ref="A1:E59" totalsRowShown="0" headerRowDxfId="1">
  <autoFilter ref="A1:E59" xr:uid="{06791CD8-7172-4ABA-9A31-D2F66AABED08}"/>
  <tableColumns count="5">
    <tableColumn id="1" xr3:uid="{F15E63C3-ADE3-48F1-A141-C0BD27057273}" name="Localidad"/>
    <tableColumn id="2" xr3:uid="{C569015B-C0E8-4537-A110-7BA44E724098}" name="XCHA-01 dry forests - 19.091831, -89.428484"/>
    <tableColumn id="3" xr3:uid="{7DE8381F-9DCD-4324-B7B9-2B0BE49EA66A}" name="XCHA-02 dry forests - 19.075331, -89.443065"/>
    <tableColumn id="4" xr3:uid="{DEF78630-A59C-4CB5-8306-07A96C64E878}" name="XCHA-CT"/>
    <tableColumn id="5" xr3:uid="{8C7BBC98-2326-4AE9-9895-2356D2E0A7F2}" name="total spp richness">
      <calculatedColumnFormula>SUM(B2:C2)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CF3086-5DB7-4437-ACCD-39FE8AF30832}" name="Table5" displayName="Table5" ref="A1:E63" totalsRowShown="0" headerRowDxfId="0">
  <autoFilter ref="A1:E63" xr:uid="{FFCF3086-5DB7-4437-ACCD-39FE8AF30832}">
    <filterColumn colId="4">
      <filters>
        <filter val="1"/>
        <filter val="10"/>
        <filter val="12"/>
        <filter val="14"/>
        <filter val="2"/>
        <filter val="20"/>
        <filter val="3"/>
        <filter val="4"/>
        <filter val="5"/>
        <filter val="7"/>
        <filter val="8"/>
        <filter val="9"/>
      </filters>
    </filterColumn>
  </autoFilter>
  <tableColumns count="5">
    <tableColumn id="1" xr3:uid="{609EA8E6-9E8B-4C6C-8135-52DC5A4F8873}" name="Localidad"/>
    <tableColumn id="2" xr3:uid="{093D148B-8D77-4D2D-8FF2-ADC5E470C897}" name="FRMU-01 - dry forests -19.305722, -89.755194 "/>
    <tableColumn id="3" xr3:uid="{0525DB9A-F392-495C-9804-3D0C872A93C9}" name="FRMU-02 - dry forests - 19.267623, -89.746766"/>
    <tableColumn id="4" xr3:uid="{CC803657-5250-425F-A099-82BC556A8642}" name="FRMU-CT"/>
    <tableColumn id="5" xr3:uid="{0E2D322D-EC56-42DB-ADE1-825BFC38EED5}" name="total spp richness">
      <calculatedColumnFormula>SUM(B2:C2)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bird.org/species/yebcuc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ebird.org/species/gyhdov1" TargetMode="External"/><Relationship Id="rId1" Type="http://schemas.openxmlformats.org/officeDocument/2006/relationships/hyperlink" Target="https://ebird.org/species/thitin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ebird.org/species/rtlhum" TargetMode="External"/><Relationship Id="rId4" Type="http://schemas.openxmlformats.org/officeDocument/2006/relationships/hyperlink" Target="https://ebird.org/species/rthhu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bird.org/species/rtlhum" TargetMode="External"/><Relationship Id="rId2" Type="http://schemas.openxmlformats.org/officeDocument/2006/relationships/hyperlink" Target="https://ebird.org/species/rthhum" TargetMode="External"/><Relationship Id="rId1" Type="http://schemas.openxmlformats.org/officeDocument/2006/relationships/hyperlink" Target="https://ebird.org/species/thitin1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bird.org/species/grbani" TargetMode="External"/><Relationship Id="rId1" Type="http://schemas.openxmlformats.org/officeDocument/2006/relationships/hyperlink" Target="https://ebird.org/species/thitin1" TargetMode="Externa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bird.org/species/thitin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bird.org/species/grbani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ebird.org/species/gyhdov1" TargetMode="External"/><Relationship Id="rId1" Type="http://schemas.openxmlformats.org/officeDocument/2006/relationships/hyperlink" Target="https://ebird.org/species/thitin1" TargetMode="External"/><Relationship Id="rId6" Type="http://schemas.openxmlformats.org/officeDocument/2006/relationships/hyperlink" Target="https://ebird.org/species/bcnher" TargetMode="External"/><Relationship Id="rId5" Type="http://schemas.openxmlformats.org/officeDocument/2006/relationships/hyperlink" Target="https://ebird.org/species/rtlhum" TargetMode="External"/><Relationship Id="rId4" Type="http://schemas.openxmlformats.org/officeDocument/2006/relationships/hyperlink" Target="https://ebird.org/species/rthhu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ebird.org/species/bcnher" TargetMode="External"/><Relationship Id="rId2" Type="http://schemas.openxmlformats.org/officeDocument/2006/relationships/hyperlink" Target="https://ebird.org/species/grbani" TargetMode="External"/><Relationship Id="rId1" Type="http://schemas.openxmlformats.org/officeDocument/2006/relationships/hyperlink" Target="https://ebird.org/species/gyhdov1" TargetMode="External"/><Relationship Id="rId5" Type="http://schemas.openxmlformats.org/officeDocument/2006/relationships/table" Target="../tables/table5.xml"/><Relationship Id="rId4" Type="http://schemas.openxmlformats.org/officeDocument/2006/relationships/hyperlink" Target="https://ebird.org/species/thitin1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ebird.org/species/rtlhum" TargetMode="External"/><Relationship Id="rId2" Type="http://schemas.openxmlformats.org/officeDocument/2006/relationships/hyperlink" Target="https://ebird.org/species/grbani" TargetMode="External"/><Relationship Id="rId1" Type="http://schemas.openxmlformats.org/officeDocument/2006/relationships/hyperlink" Target="https://ebird.org/species/thitin1" TargetMode="External"/><Relationship Id="rId4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hyperlink" Target="https://ebird.org/species/yebcuc" TargetMode="External"/><Relationship Id="rId1" Type="http://schemas.openxmlformats.org/officeDocument/2006/relationships/hyperlink" Target="https://ebird.org/species/thitin1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ebird.org/species/grbani" TargetMode="External"/><Relationship Id="rId1" Type="http://schemas.openxmlformats.org/officeDocument/2006/relationships/hyperlink" Target="https://ebird.org/species/thitin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ebird.org/species/yebcuc" TargetMode="External"/><Relationship Id="rId2" Type="http://schemas.openxmlformats.org/officeDocument/2006/relationships/hyperlink" Target="https://ebird.org/species/grbani" TargetMode="External"/><Relationship Id="rId1" Type="http://schemas.openxmlformats.org/officeDocument/2006/relationships/hyperlink" Target="https://ebird.org/species/thitin1" TargetMode="External"/><Relationship Id="rId4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ebird.org/species/thitin1" TargetMode="External"/><Relationship Id="rId3" Type="http://schemas.openxmlformats.org/officeDocument/2006/relationships/hyperlink" Target="https://ebird.org/species/gyhdov1" TargetMode="External"/><Relationship Id="rId7" Type="http://schemas.openxmlformats.org/officeDocument/2006/relationships/hyperlink" Target="https://ebird.org/species/thitin1" TargetMode="External"/><Relationship Id="rId2" Type="http://schemas.openxmlformats.org/officeDocument/2006/relationships/hyperlink" Target="https://ebird.org/species/rtlhum" TargetMode="External"/><Relationship Id="rId1" Type="http://schemas.openxmlformats.org/officeDocument/2006/relationships/hyperlink" Target="https://ebird.org/species/yebcuc" TargetMode="External"/><Relationship Id="rId6" Type="http://schemas.openxmlformats.org/officeDocument/2006/relationships/hyperlink" Target="https://ebird.org/species/grbani" TargetMode="External"/><Relationship Id="rId5" Type="http://schemas.openxmlformats.org/officeDocument/2006/relationships/hyperlink" Target="https://ebird.org/species/rthhum" TargetMode="External"/><Relationship Id="rId4" Type="http://schemas.openxmlformats.org/officeDocument/2006/relationships/hyperlink" Target="https://ebird.org/species/bcnher" TargetMode="External"/><Relationship Id="rId9" Type="http://schemas.openxmlformats.org/officeDocument/2006/relationships/hyperlink" Target="https://ebird.org/species/grb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topLeftCell="B99" zoomScale="70" zoomScaleNormal="70" workbookViewId="0">
      <selection activeCell="D103" sqref="D103"/>
    </sheetView>
  </sheetViews>
  <sheetFormatPr defaultColWidth="11.5546875" defaultRowHeight="14.4" x14ac:dyDescent="0.3"/>
  <cols>
    <col min="1" max="1" width="22.109375" customWidth="1"/>
    <col min="2" max="9" width="15.109375" customWidth="1"/>
    <col min="10" max="10" width="9.44140625" bestFit="1" customWidth="1"/>
  </cols>
  <sheetData>
    <row r="1" spans="1:11" s="9" customFormat="1" ht="57.6" x14ac:dyDescent="0.3">
      <c r="A1" s="12" t="s">
        <v>0</v>
      </c>
      <c r="B1" s="9" t="s">
        <v>306</v>
      </c>
      <c r="C1" s="9" t="s">
        <v>307</v>
      </c>
      <c r="D1" s="9" t="s">
        <v>308</v>
      </c>
      <c r="E1" s="9" t="s">
        <v>309</v>
      </c>
      <c r="F1" s="9" t="s">
        <v>310</v>
      </c>
      <c r="G1" s="9" t="s">
        <v>311</v>
      </c>
      <c r="H1" s="9" t="s">
        <v>312</v>
      </c>
      <c r="I1" s="9" t="s">
        <v>313</v>
      </c>
      <c r="J1" s="9" t="s">
        <v>1</v>
      </c>
      <c r="K1" s="9" t="s">
        <v>273</v>
      </c>
    </row>
    <row r="2" spans="1:11" x14ac:dyDescent="0.3">
      <c r="A2" s="2" t="s">
        <v>4</v>
      </c>
      <c r="B2">
        <v>1</v>
      </c>
      <c r="E2">
        <v>1</v>
      </c>
      <c r="H2">
        <v>1</v>
      </c>
      <c r="J2">
        <v>1</v>
      </c>
      <c r="K2">
        <f>SUM(B2:I2)</f>
        <v>3</v>
      </c>
    </row>
    <row r="3" spans="1:11" x14ac:dyDescent="0.3">
      <c r="A3" t="s">
        <v>5</v>
      </c>
      <c r="B3">
        <v>1</v>
      </c>
      <c r="K3">
        <f t="shared" ref="K3:K66" si="0">SUM(B3:I3)</f>
        <v>1</v>
      </c>
    </row>
    <row r="4" spans="1:11" x14ac:dyDescent="0.3">
      <c r="A4" t="s">
        <v>6</v>
      </c>
      <c r="B4">
        <v>4</v>
      </c>
      <c r="F4">
        <v>2</v>
      </c>
      <c r="K4">
        <f t="shared" si="0"/>
        <v>6</v>
      </c>
    </row>
    <row r="5" spans="1:11" x14ac:dyDescent="0.3">
      <c r="A5" t="s">
        <v>7</v>
      </c>
      <c r="B5">
        <v>3</v>
      </c>
      <c r="I5">
        <v>1</v>
      </c>
      <c r="K5">
        <f t="shared" si="0"/>
        <v>4</v>
      </c>
    </row>
    <row r="6" spans="1:11" x14ac:dyDescent="0.3">
      <c r="A6" t="s">
        <v>8</v>
      </c>
      <c r="H6">
        <v>1</v>
      </c>
      <c r="J6">
        <v>1</v>
      </c>
      <c r="K6">
        <f t="shared" si="0"/>
        <v>1</v>
      </c>
    </row>
    <row r="7" spans="1:11" x14ac:dyDescent="0.3">
      <c r="A7" t="s">
        <v>9</v>
      </c>
      <c r="B7">
        <v>1</v>
      </c>
      <c r="D7">
        <v>1</v>
      </c>
      <c r="J7">
        <v>1</v>
      </c>
      <c r="K7">
        <f t="shared" si="0"/>
        <v>2</v>
      </c>
    </row>
    <row r="8" spans="1:11" x14ac:dyDescent="0.3">
      <c r="A8" t="s">
        <v>10</v>
      </c>
      <c r="B8">
        <v>1</v>
      </c>
      <c r="G8">
        <v>2</v>
      </c>
      <c r="K8">
        <f t="shared" si="0"/>
        <v>3</v>
      </c>
    </row>
    <row r="9" spans="1:11" x14ac:dyDescent="0.3">
      <c r="A9" t="s">
        <v>11</v>
      </c>
      <c r="G9">
        <v>7</v>
      </c>
      <c r="I9">
        <v>3</v>
      </c>
      <c r="K9">
        <f t="shared" si="0"/>
        <v>10</v>
      </c>
    </row>
    <row r="10" spans="1:11" x14ac:dyDescent="0.3">
      <c r="A10" t="s">
        <v>12</v>
      </c>
      <c r="B10">
        <v>2</v>
      </c>
      <c r="K10">
        <f t="shared" si="0"/>
        <v>2</v>
      </c>
    </row>
    <row r="11" spans="1:11" x14ac:dyDescent="0.3">
      <c r="A11" t="s">
        <v>13</v>
      </c>
      <c r="E11">
        <v>1</v>
      </c>
      <c r="J11">
        <v>1</v>
      </c>
      <c r="K11">
        <f t="shared" si="0"/>
        <v>1</v>
      </c>
    </row>
    <row r="12" spans="1:11" x14ac:dyDescent="0.3">
      <c r="A12" t="s">
        <v>14</v>
      </c>
      <c r="B12">
        <v>1</v>
      </c>
      <c r="K12">
        <f t="shared" si="0"/>
        <v>1</v>
      </c>
    </row>
    <row r="13" spans="1:11" x14ac:dyDescent="0.3">
      <c r="A13" s="2" t="s">
        <v>15</v>
      </c>
      <c r="B13">
        <v>2</v>
      </c>
      <c r="K13">
        <f t="shared" si="0"/>
        <v>2</v>
      </c>
    </row>
    <row r="14" spans="1:11" x14ac:dyDescent="0.3">
      <c r="A14" s="2" t="s">
        <v>16</v>
      </c>
      <c r="F14">
        <v>1</v>
      </c>
      <c r="K14">
        <f t="shared" si="0"/>
        <v>1</v>
      </c>
    </row>
    <row r="15" spans="1:11" x14ac:dyDescent="0.3">
      <c r="A15" t="s">
        <v>17</v>
      </c>
      <c r="G15">
        <v>2</v>
      </c>
      <c r="K15">
        <f t="shared" si="0"/>
        <v>2</v>
      </c>
    </row>
    <row r="16" spans="1:11" x14ac:dyDescent="0.3">
      <c r="A16" s="2" t="s">
        <v>18</v>
      </c>
      <c r="H16">
        <v>1</v>
      </c>
      <c r="K16">
        <f t="shared" si="0"/>
        <v>1</v>
      </c>
    </row>
    <row r="17" spans="1:11" x14ac:dyDescent="0.3">
      <c r="A17" t="s">
        <v>19</v>
      </c>
      <c r="F17">
        <v>1</v>
      </c>
      <c r="K17">
        <f t="shared" si="0"/>
        <v>1</v>
      </c>
    </row>
    <row r="18" spans="1:11" x14ac:dyDescent="0.3">
      <c r="A18" t="s">
        <v>20</v>
      </c>
      <c r="F18">
        <v>1</v>
      </c>
      <c r="K18">
        <f t="shared" si="0"/>
        <v>1</v>
      </c>
    </row>
    <row r="19" spans="1:11" x14ac:dyDescent="0.3">
      <c r="A19" t="s">
        <v>21</v>
      </c>
      <c r="F19">
        <v>1</v>
      </c>
      <c r="K19">
        <f t="shared" si="0"/>
        <v>1</v>
      </c>
    </row>
    <row r="20" spans="1:11" x14ac:dyDescent="0.3">
      <c r="A20" s="2" t="s">
        <v>22</v>
      </c>
      <c r="F20">
        <v>1</v>
      </c>
      <c r="K20">
        <f t="shared" si="0"/>
        <v>1</v>
      </c>
    </row>
    <row r="21" spans="1:11" x14ac:dyDescent="0.3">
      <c r="A21" t="s">
        <v>23</v>
      </c>
      <c r="B21">
        <v>1</v>
      </c>
      <c r="K21">
        <f t="shared" si="0"/>
        <v>1</v>
      </c>
    </row>
    <row r="22" spans="1:11" x14ac:dyDescent="0.3">
      <c r="A22" t="s">
        <v>24</v>
      </c>
      <c r="C22">
        <v>1</v>
      </c>
      <c r="K22">
        <f t="shared" si="0"/>
        <v>1</v>
      </c>
    </row>
    <row r="23" spans="1:11" x14ac:dyDescent="0.3">
      <c r="A23" s="2" t="s">
        <v>25</v>
      </c>
      <c r="C23">
        <v>1</v>
      </c>
      <c r="K23">
        <f t="shared" si="0"/>
        <v>1</v>
      </c>
    </row>
    <row r="24" spans="1:11" x14ac:dyDescent="0.3">
      <c r="A24" t="s">
        <v>26</v>
      </c>
      <c r="B24">
        <v>1</v>
      </c>
      <c r="K24">
        <f t="shared" si="0"/>
        <v>1</v>
      </c>
    </row>
    <row r="25" spans="1:11" x14ac:dyDescent="0.3">
      <c r="A25" t="s">
        <v>27</v>
      </c>
      <c r="B25">
        <v>2</v>
      </c>
      <c r="K25">
        <f t="shared" si="0"/>
        <v>2</v>
      </c>
    </row>
    <row r="26" spans="1:11" x14ac:dyDescent="0.3">
      <c r="A26" t="s">
        <v>28</v>
      </c>
      <c r="B26">
        <v>3</v>
      </c>
      <c r="K26">
        <f t="shared" si="0"/>
        <v>3</v>
      </c>
    </row>
    <row r="27" spans="1:11" x14ac:dyDescent="0.3">
      <c r="A27" t="s">
        <v>29</v>
      </c>
      <c r="B27">
        <v>2</v>
      </c>
      <c r="K27">
        <f t="shared" si="0"/>
        <v>2</v>
      </c>
    </row>
    <row r="28" spans="1:11" x14ac:dyDescent="0.3">
      <c r="A28" t="s">
        <v>30</v>
      </c>
      <c r="B28">
        <v>2</v>
      </c>
      <c r="K28">
        <f t="shared" si="0"/>
        <v>2</v>
      </c>
    </row>
    <row r="29" spans="1:11" x14ac:dyDescent="0.3">
      <c r="A29" t="s">
        <v>31</v>
      </c>
      <c r="B29">
        <v>2</v>
      </c>
      <c r="K29">
        <f t="shared" si="0"/>
        <v>2</v>
      </c>
    </row>
    <row r="30" spans="1:11" x14ac:dyDescent="0.3">
      <c r="A30" t="s">
        <v>32</v>
      </c>
      <c r="D30">
        <v>1</v>
      </c>
      <c r="K30">
        <f t="shared" si="0"/>
        <v>1</v>
      </c>
    </row>
    <row r="31" spans="1:11" x14ac:dyDescent="0.3">
      <c r="A31" t="s">
        <v>33</v>
      </c>
      <c r="B31">
        <v>1</v>
      </c>
      <c r="K31">
        <f t="shared" si="0"/>
        <v>1</v>
      </c>
    </row>
    <row r="32" spans="1:11" x14ac:dyDescent="0.3">
      <c r="A32" t="s">
        <v>34</v>
      </c>
      <c r="B32">
        <v>1</v>
      </c>
      <c r="H32">
        <v>1</v>
      </c>
      <c r="K32">
        <f t="shared" si="0"/>
        <v>2</v>
      </c>
    </row>
    <row r="33" spans="1:11" x14ac:dyDescent="0.3">
      <c r="A33" t="s">
        <v>35</v>
      </c>
      <c r="F33">
        <v>1</v>
      </c>
      <c r="K33">
        <f t="shared" si="0"/>
        <v>1</v>
      </c>
    </row>
    <row r="34" spans="1:11" x14ac:dyDescent="0.3">
      <c r="A34" t="s">
        <v>36</v>
      </c>
      <c r="B34">
        <v>2</v>
      </c>
      <c r="H34">
        <v>1</v>
      </c>
      <c r="K34">
        <f t="shared" si="0"/>
        <v>3</v>
      </c>
    </row>
    <row r="35" spans="1:11" x14ac:dyDescent="0.3">
      <c r="A35" t="s">
        <v>37</v>
      </c>
      <c r="B35">
        <v>1</v>
      </c>
      <c r="D35">
        <v>1</v>
      </c>
      <c r="K35">
        <f t="shared" si="0"/>
        <v>2</v>
      </c>
    </row>
    <row r="36" spans="1:11" x14ac:dyDescent="0.3">
      <c r="A36" t="s">
        <v>38</v>
      </c>
      <c r="C36">
        <v>1</v>
      </c>
      <c r="K36">
        <f t="shared" si="0"/>
        <v>1</v>
      </c>
    </row>
    <row r="37" spans="1:11" x14ac:dyDescent="0.3">
      <c r="A37" t="s">
        <v>39</v>
      </c>
      <c r="B37">
        <v>5</v>
      </c>
      <c r="K37">
        <f t="shared" si="0"/>
        <v>5</v>
      </c>
    </row>
    <row r="38" spans="1:11" x14ac:dyDescent="0.3">
      <c r="A38" t="s">
        <v>40</v>
      </c>
      <c r="B38">
        <v>2</v>
      </c>
      <c r="E38">
        <v>1</v>
      </c>
      <c r="F38">
        <v>2</v>
      </c>
      <c r="I38">
        <v>1</v>
      </c>
      <c r="K38">
        <f t="shared" si="0"/>
        <v>6</v>
      </c>
    </row>
    <row r="39" spans="1:11" x14ac:dyDescent="0.3">
      <c r="A39" t="s">
        <v>41</v>
      </c>
      <c r="B39">
        <v>1</v>
      </c>
      <c r="E39">
        <v>1</v>
      </c>
      <c r="K39">
        <f t="shared" si="0"/>
        <v>2</v>
      </c>
    </row>
    <row r="40" spans="1:11" x14ac:dyDescent="0.3">
      <c r="A40" t="s">
        <v>42</v>
      </c>
      <c r="B40">
        <v>1</v>
      </c>
      <c r="G40">
        <v>2</v>
      </c>
      <c r="K40">
        <f t="shared" si="0"/>
        <v>3</v>
      </c>
    </row>
    <row r="41" spans="1:11" x14ac:dyDescent="0.3">
      <c r="A41" t="s">
        <v>43</v>
      </c>
      <c r="B41">
        <v>1</v>
      </c>
      <c r="F41">
        <v>2</v>
      </c>
      <c r="K41">
        <f t="shared" si="0"/>
        <v>3</v>
      </c>
    </row>
    <row r="42" spans="1:11" x14ac:dyDescent="0.3">
      <c r="A42" t="s">
        <v>44</v>
      </c>
      <c r="F42">
        <v>1</v>
      </c>
      <c r="K42">
        <f t="shared" si="0"/>
        <v>1</v>
      </c>
    </row>
    <row r="43" spans="1:11" x14ac:dyDescent="0.3">
      <c r="A43" t="s">
        <v>45</v>
      </c>
      <c r="B43">
        <v>1</v>
      </c>
      <c r="K43">
        <f t="shared" si="0"/>
        <v>1</v>
      </c>
    </row>
    <row r="44" spans="1:11" x14ac:dyDescent="0.3">
      <c r="A44" t="s">
        <v>46</v>
      </c>
      <c r="B44">
        <v>1</v>
      </c>
      <c r="K44">
        <f t="shared" si="0"/>
        <v>1</v>
      </c>
    </row>
    <row r="45" spans="1:11" x14ac:dyDescent="0.3">
      <c r="A45" t="s">
        <v>47</v>
      </c>
      <c r="C45">
        <v>5</v>
      </c>
      <c r="K45">
        <f t="shared" si="0"/>
        <v>5</v>
      </c>
    </row>
    <row r="46" spans="1:11" x14ac:dyDescent="0.3">
      <c r="A46" t="s">
        <v>48</v>
      </c>
      <c r="F46">
        <v>2</v>
      </c>
      <c r="K46">
        <f t="shared" si="0"/>
        <v>2</v>
      </c>
    </row>
    <row r="47" spans="1:11" x14ac:dyDescent="0.3">
      <c r="A47" t="s">
        <v>49</v>
      </c>
      <c r="E47">
        <v>2</v>
      </c>
      <c r="F47">
        <v>7</v>
      </c>
      <c r="K47">
        <f t="shared" si="0"/>
        <v>9</v>
      </c>
    </row>
    <row r="48" spans="1:11" x14ac:dyDescent="0.3">
      <c r="A48" t="s">
        <v>50</v>
      </c>
      <c r="B48">
        <v>4</v>
      </c>
      <c r="F48">
        <v>4</v>
      </c>
      <c r="K48">
        <f t="shared" si="0"/>
        <v>8</v>
      </c>
    </row>
    <row r="49" spans="1:11" x14ac:dyDescent="0.3">
      <c r="A49" t="s">
        <v>51</v>
      </c>
      <c r="B49">
        <v>2</v>
      </c>
      <c r="F49">
        <v>14</v>
      </c>
      <c r="K49">
        <f t="shared" si="0"/>
        <v>16</v>
      </c>
    </row>
    <row r="50" spans="1:11" x14ac:dyDescent="0.3">
      <c r="A50" t="s">
        <v>52</v>
      </c>
      <c r="H50">
        <v>2</v>
      </c>
      <c r="K50">
        <f t="shared" si="0"/>
        <v>2</v>
      </c>
    </row>
    <row r="51" spans="1:11" x14ac:dyDescent="0.3">
      <c r="A51" t="s">
        <v>53</v>
      </c>
      <c r="F51">
        <v>1</v>
      </c>
      <c r="J51">
        <v>1</v>
      </c>
      <c r="K51">
        <f t="shared" si="0"/>
        <v>1</v>
      </c>
    </row>
    <row r="52" spans="1:11" x14ac:dyDescent="0.3">
      <c r="A52" t="s">
        <v>54</v>
      </c>
      <c r="B52">
        <v>1</v>
      </c>
      <c r="D52">
        <v>2</v>
      </c>
      <c r="K52">
        <f t="shared" si="0"/>
        <v>3</v>
      </c>
    </row>
    <row r="53" spans="1:11" x14ac:dyDescent="0.3">
      <c r="A53" t="s">
        <v>55</v>
      </c>
      <c r="G53">
        <v>1</v>
      </c>
      <c r="K53">
        <f t="shared" si="0"/>
        <v>1</v>
      </c>
    </row>
    <row r="54" spans="1:11" x14ac:dyDescent="0.3">
      <c r="A54" t="s">
        <v>56</v>
      </c>
      <c r="D54">
        <v>1</v>
      </c>
      <c r="E54">
        <v>1</v>
      </c>
      <c r="F54">
        <v>1</v>
      </c>
      <c r="K54">
        <f t="shared" si="0"/>
        <v>3</v>
      </c>
    </row>
    <row r="55" spans="1:11" x14ac:dyDescent="0.3">
      <c r="A55" t="s">
        <v>57</v>
      </c>
      <c r="B55">
        <v>2</v>
      </c>
      <c r="K55">
        <f t="shared" si="0"/>
        <v>2</v>
      </c>
    </row>
    <row r="56" spans="1:11" x14ac:dyDescent="0.3">
      <c r="A56" t="s">
        <v>58</v>
      </c>
      <c r="B56">
        <v>1</v>
      </c>
      <c r="F56">
        <v>2</v>
      </c>
      <c r="H56">
        <v>2</v>
      </c>
      <c r="K56">
        <f t="shared" si="0"/>
        <v>5</v>
      </c>
    </row>
    <row r="57" spans="1:11" x14ac:dyDescent="0.3">
      <c r="A57" t="s">
        <v>59</v>
      </c>
      <c r="B57">
        <v>1</v>
      </c>
      <c r="K57">
        <f t="shared" si="0"/>
        <v>1</v>
      </c>
    </row>
    <row r="58" spans="1:11" x14ac:dyDescent="0.3">
      <c r="A58" t="s">
        <v>60</v>
      </c>
      <c r="B58">
        <v>2</v>
      </c>
      <c r="K58">
        <f t="shared" si="0"/>
        <v>2</v>
      </c>
    </row>
    <row r="59" spans="1:11" x14ac:dyDescent="0.3">
      <c r="A59" t="s">
        <v>61</v>
      </c>
      <c r="B59">
        <v>1</v>
      </c>
      <c r="G59">
        <v>4</v>
      </c>
      <c r="K59">
        <f t="shared" si="0"/>
        <v>5</v>
      </c>
    </row>
    <row r="60" spans="1:11" x14ac:dyDescent="0.3">
      <c r="A60" t="s">
        <v>62</v>
      </c>
      <c r="B60">
        <v>1</v>
      </c>
      <c r="K60">
        <f t="shared" si="0"/>
        <v>1</v>
      </c>
    </row>
    <row r="61" spans="1:11" x14ac:dyDescent="0.3">
      <c r="A61" t="s">
        <v>63</v>
      </c>
      <c r="E61">
        <v>1</v>
      </c>
      <c r="G61">
        <v>1</v>
      </c>
      <c r="H61">
        <v>1</v>
      </c>
      <c r="K61">
        <f t="shared" si="0"/>
        <v>3</v>
      </c>
    </row>
    <row r="62" spans="1:11" x14ac:dyDescent="0.3">
      <c r="A62" t="s">
        <v>64</v>
      </c>
      <c r="E62">
        <v>1</v>
      </c>
      <c r="K62">
        <f t="shared" si="0"/>
        <v>1</v>
      </c>
    </row>
    <row r="63" spans="1:11" x14ac:dyDescent="0.3">
      <c r="A63" t="s">
        <v>65</v>
      </c>
      <c r="E63">
        <v>1</v>
      </c>
      <c r="G63">
        <v>1</v>
      </c>
      <c r="K63">
        <f t="shared" si="0"/>
        <v>2</v>
      </c>
    </row>
    <row r="64" spans="1:11" x14ac:dyDescent="0.3">
      <c r="A64" t="s">
        <v>66</v>
      </c>
      <c r="B64">
        <v>1</v>
      </c>
      <c r="K64">
        <f t="shared" si="0"/>
        <v>1</v>
      </c>
    </row>
    <row r="65" spans="1:11" x14ac:dyDescent="0.3">
      <c r="A65" t="s">
        <v>67</v>
      </c>
      <c r="H65">
        <v>1</v>
      </c>
      <c r="K65">
        <f t="shared" si="0"/>
        <v>1</v>
      </c>
    </row>
    <row r="66" spans="1:11" x14ac:dyDescent="0.3">
      <c r="A66" t="s">
        <v>68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K66">
        <f t="shared" si="0"/>
        <v>6</v>
      </c>
    </row>
    <row r="67" spans="1:11" x14ac:dyDescent="0.3">
      <c r="A67" t="s">
        <v>69</v>
      </c>
      <c r="D67">
        <v>2</v>
      </c>
      <c r="K67">
        <f t="shared" ref="K67:K126" si="1">SUM(B67:I67)</f>
        <v>2</v>
      </c>
    </row>
    <row r="68" spans="1:11" x14ac:dyDescent="0.3">
      <c r="A68" t="s">
        <v>70</v>
      </c>
      <c r="G68">
        <v>1</v>
      </c>
      <c r="K68">
        <f t="shared" si="1"/>
        <v>1</v>
      </c>
    </row>
    <row r="69" spans="1:11" x14ac:dyDescent="0.3">
      <c r="A69" t="s">
        <v>71</v>
      </c>
      <c r="F69">
        <v>2</v>
      </c>
      <c r="K69">
        <f t="shared" si="1"/>
        <v>2</v>
      </c>
    </row>
    <row r="70" spans="1:11" x14ac:dyDescent="0.3">
      <c r="A70" t="s">
        <v>72</v>
      </c>
      <c r="B70">
        <v>1</v>
      </c>
      <c r="H70">
        <v>1</v>
      </c>
      <c r="K70">
        <f t="shared" si="1"/>
        <v>2</v>
      </c>
    </row>
    <row r="71" spans="1:11" x14ac:dyDescent="0.3">
      <c r="A71" t="s">
        <v>73</v>
      </c>
      <c r="E71">
        <v>1</v>
      </c>
      <c r="K71">
        <f t="shared" si="1"/>
        <v>1</v>
      </c>
    </row>
    <row r="72" spans="1:11" x14ac:dyDescent="0.3">
      <c r="A72" t="s">
        <v>74</v>
      </c>
      <c r="H72">
        <v>2</v>
      </c>
      <c r="K72">
        <f t="shared" si="1"/>
        <v>2</v>
      </c>
    </row>
    <row r="73" spans="1:11" x14ac:dyDescent="0.3">
      <c r="A73" t="s">
        <v>75</v>
      </c>
      <c r="B73">
        <v>2</v>
      </c>
      <c r="K73">
        <f t="shared" si="1"/>
        <v>2</v>
      </c>
    </row>
    <row r="74" spans="1:11" x14ac:dyDescent="0.3">
      <c r="A74" t="s">
        <v>76</v>
      </c>
      <c r="B74">
        <v>2</v>
      </c>
      <c r="K74">
        <f t="shared" si="1"/>
        <v>2</v>
      </c>
    </row>
    <row r="75" spans="1:11" x14ac:dyDescent="0.3">
      <c r="A75" t="s">
        <v>77</v>
      </c>
      <c r="I75">
        <v>1</v>
      </c>
      <c r="K75">
        <f t="shared" si="1"/>
        <v>1</v>
      </c>
    </row>
    <row r="76" spans="1:11" x14ac:dyDescent="0.3">
      <c r="A76" t="s">
        <v>78</v>
      </c>
      <c r="B76">
        <v>1</v>
      </c>
      <c r="K76">
        <f t="shared" si="1"/>
        <v>1</v>
      </c>
    </row>
    <row r="77" spans="1:11" x14ac:dyDescent="0.3">
      <c r="A77" t="s">
        <v>79</v>
      </c>
      <c r="F77">
        <v>2</v>
      </c>
      <c r="K77">
        <f t="shared" si="1"/>
        <v>2</v>
      </c>
    </row>
    <row r="78" spans="1:11" x14ac:dyDescent="0.3">
      <c r="A78" t="s">
        <v>81</v>
      </c>
      <c r="H78">
        <v>1</v>
      </c>
      <c r="I78">
        <v>1</v>
      </c>
      <c r="K78">
        <f t="shared" si="1"/>
        <v>2</v>
      </c>
    </row>
    <row r="79" spans="1:11" x14ac:dyDescent="0.3">
      <c r="A79" t="s">
        <v>82</v>
      </c>
      <c r="E79">
        <v>2</v>
      </c>
      <c r="K79">
        <f t="shared" si="1"/>
        <v>2</v>
      </c>
    </row>
    <row r="80" spans="1:11" x14ac:dyDescent="0.3">
      <c r="A80" t="s">
        <v>240</v>
      </c>
      <c r="G80">
        <v>2</v>
      </c>
      <c r="K80">
        <f t="shared" si="1"/>
        <v>2</v>
      </c>
    </row>
    <row r="81" spans="1:11" x14ac:dyDescent="0.3">
      <c r="A81" t="s">
        <v>84</v>
      </c>
      <c r="B81">
        <v>3</v>
      </c>
      <c r="D81">
        <v>3</v>
      </c>
      <c r="K81">
        <f t="shared" si="1"/>
        <v>6</v>
      </c>
    </row>
    <row r="82" spans="1:11" x14ac:dyDescent="0.3">
      <c r="A82" t="s">
        <v>85</v>
      </c>
      <c r="F82">
        <v>1</v>
      </c>
      <c r="K82">
        <f t="shared" si="1"/>
        <v>1</v>
      </c>
    </row>
    <row r="83" spans="1:11" x14ac:dyDescent="0.3">
      <c r="A83" t="s">
        <v>86</v>
      </c>
      <c r="B83">
        <v>1</v>
      </c>
      <c r="K83">
        <f t="shared" si="1"/>
        <v>1</v>
      </c>
    </row>
    <row r="84" spans="1:11" x14ac:dyDescent="0.3">
      <c r="A84" t="s">
        <v>87</v>
      </c>
      <c r="G84">
        <v>1</v>
      </c>
      <c r="K84">
        <f t="shared" si="1"/>
        <v>1</v>
      </c>
    </row>
    <row r="85" spans="1:11" x14ac:dyDescent="0.3">
      <c r="A85" t="s">
        <v>88</v>
      </c>
      <c r="B85">
        <v>3</v>
      </c>
      <c r="C85">
        <v>5</v>
      </c>
      <c r="D85">
        <v>2</v>
      </c>
      <c r="G85">
        <v>2</v>
      </c>
      <c r="H85">
        <v>2</v>
      </c>
      <c r="I85">
        <v>6</v>
      </c>
      <c r="K85">
        <f t="shared" si="1"/>
        <v>20</v>
      </c>
    </row>
    <row r="86" spans="1:11" x14ac:dyDescent="0.3">
      <c r="A86" t="s">
        <v>89</v>
      </c>
      <c r="B86">
        <v>6</v>
      </c>
      <c r="D86">
        <v>2</v>
      </c>
      <c r="K86">
        <f t="shared" si="1"/>
        <v>8</v>
      </c>
    </row>
    <row r="87" spans="1:11" x14ac:dyDescent="0.3">
      <c r="A87" t="s">
        <v>90</v>
      </c>
      <c r="B87">
        <v>5</v>
      </c>
      <c r="K87">
        <f t="shared" si="1"/>
        <v>5</v>
      </c>
    </row>
    <row r="88" spans="1:11" x14ac:dyDescent="0.3">
      <c r="A88" t="s">
        <v>92</v>
      </c>
      <c r="B88">
        <v>2</v>
      </c>
      <c r="K88">
        <f t="shared" si="1"/>
        <v>2</v>
      </c>
    </row>
    <row r="89" spans="1:11" x14ac:dyDescent="0.3">
      <c r="A89" t="s">
        <v>95</v>
      </c>
      <c r="B89">
        <v>1</v>
      </c>
      <c r="G89">
        <v>1</v>
      </c>
      <c r="I89">
        <v>2</v>
      </c>
      <c r="K89">
        <f t="shared" si="1"/>
        <v>4</v>
      </c>
    </row>
    <row r="90" spans="1:11" x14ac:dyDescent="0.3">
      <c r="A90" t="s">
        <v>96</v>
      </c>
      <c r="E90">
        <v>2</v>
      </c>
      <c r="H90">
        <v>1</v>
      </c>
      <c r="K90">
        <f t="shared" si="1"/>
        <v>3</v>
      </c>
    </row>
    <row r="91" spans="1:11" x14ac:dyDescent="0.3">
      <c r="A91" t="s">
        <v>99</v>
      </c>
      <c r="E91">
        <v>1</v>
      </c>
      <c r="G91">
        <v>1</v>
      </c>
      <c r="K91">
        <f t="shared" si="1"/>
        <v>2</v>
      </c>
    </row>
    <row r="92" spans="1:11" x14ac:dyDescent="0.3">
      <c r="A92" t="s">
        <v>100</v>
      </c>
      <c r="B92">
        <v>1</v>
      </c>
      <c r="H92">
        <v>1</v>
      </c>
      <c r="K92">
        <f t="shared" si="1"/>
        <v>2</v>
      </c>
    </row>
    <row r="93" spans="1:11" x14ac:dyDescent="0.3">
      <c r="A93" t="s">
        <v>101</v>
      </c>
      <c r="E93">
        <v>1</v>
      </c>
      <c r="I93">
        <v>2</v>
      </c>
      <c r="K93">
        <f t="shared" si="1"/>
        <v>3</v>
      </c>
    </row>
    <row r="94" spans="1:11" x14ac:dyDescent="0.3">
      <c r="A94" t="s">
        <v>105</v>
      </c>
      <c r="G94">
        <v>1</v>
      </c>
      <c r="K94">
        <f t="shared" si="1"/>
        <v>1</v>
      </c>
    </row>
    <row r="95" spans="1:11" x14ac:dyDescent="0.3">
      <c r="A95" t="s">
        <v>108</v>
      </c>
      <c r="E95">
        <v>2</v>
      </c>
      <c r="K95">
        <f t="shared" si="1"/>
        <v>2</v>
      </c>
    </row>
    <row r="96" spans="1:11" x14ac:dyDescent="0.3">
      <c r="A96" t="s">
        <v>109</v>
      </c>
      <c r="B96">
        <v>2</v>
      </c>
      <c r="K96">
        <f t="shared" si="1"/>
        <v>2</v>
      </c>
    </row>
    <row r="97" spans="1:11" x14ac:dyDescent="0.3">
      <c r="A97" t="s">
        <v>113</v>
      </c>
      <c r="H97">
        <v>2</v>
      </c>
      <c r="K97">
        <f t="shared" si="1"/>
        <v>2</v>
      </c>
    </row>
    <row r="98" spans="1:11" x14ac:dyDescent="0.3">
      <c r="A98" t="s">
        <v>116</v>
      </c>
      <c r="B98">
        <v>2</v>
      </c>
      <c r="K98">
        <f t="shared" si="1"/>
        <v>2</v>
      </c>
    </row>
    <row r="99" spans="1:11" x14ac:dyDescent="0.3">
      <c r="A99" t="s">
        <v>118</v>
      </c>
      <c r="F99">
        <v>2</v>
      </c>
      <c r="K99">
        <f t="shared" si="1"/>
        <v>2</v>
      </c>
    </row>
    <row r="100" spans="1:11" x14ac:dyDescent="0.3">
      <c r="A100" t="s">
        <v>120</v>
      </c>
      <c r="G100">
        <v>2</v>
      </c>
      <c r="K100">
        <f t="shared" si="1"/>
        <v>2</v>
      </c>
    </row>
    <row r="101" spans="1:11" x14ac:dyDescent="0.3">
      <c r="A101" t="s">
        <v>128</v>
      </c>
      <c r="C101">
        <v>1</v>
      </c>
      <c r="E101">
        <v>1</v>
      </c>
      <c r="K101">
        <f t="shared" si="1"/>
        <v>2</v>
      </c>
    </row>
    <row r="102" spans="1:11" x14ac:dyDescent="0.3">
      <c r="A102" t="s">
        <v>129</v>
      </c>
      <c r="G102">
        <v>2</v>
      </c>
      <c r="K102">
        <f t="shared" si="1"/>
        <v>2</v>
      </c>
    </row>
    <row r="103" spans="1:11" x14ac:dyDescent="0.3">
      <c r="A103" t="s">
        <v>130</v>
      </c>
      <c r="H103">
        <v>2</v>
      </c>
      <c r="K103">
        <f t="shared" si="1"/>
        <v>2</v>
      </c>
    </row>
    <row r="104" spans="1:11" x14ac:dyDescent="0.3">
      <c r="A104" t="s">
        <v>131</v>
      </c>
      <c r="H104">
        <v>1</v>
      </c>
      <c r="K104">
        <f t="shared" si="1"/>
        <v>1</v>
      </c>
    </row>
    <row r="105" spans="1:11" x14ac:dyDescent="0.3">
      <c r="A105" t="s">
        <v>132</v>
      </c>
      <c r="H105">
        <v>1</v>
      </c>
      <c r="K105">
        <f t="shared" si="1"/>
        <v>1</v>
      </c>
    </row>
    <row r="106" spans="1:11" x14ac:dyDescent="0.3">
      <c r="A106" t="s">
        <v>133</v>
      </c>
      <c r="C106">
        <v>1</v>
      </c>
      <c r="G106">
        <v>6</v>
      </c>
      <c r="H106">
        <v>2</v>
      </c>
      <c r="K106">
        <f t="shared" si="1"/>
        <v>9</v>
      </c>
    </row>
    <row r="107" spans="1:11" x14ac:dyDescent="0.3">
      <c r="A107" t="s">
        <v>135</v>
      </c>
      <c r="D107">
        <v>1</v>
      </c>
      <c r="E107">
        <v>1</v>
      </c>
      <c r="F107">
        <v>1</v>
      </c>
      <c r="G107">
        <v>3</v>
      </c>
      <c r="H107">
        <v>2</v>
      </c>
      <c r="K107">
        <f t="shared" si="1"/>
        <v>8</v>
      </c>
    </row>
    <row r="108" spans="1:11" x14ac:dyDescent="0.3">
      <c r="A108" t="s">
        <v>136</v>
      </c>
      <c r="G108">
        <v>5</v>
      </c>
      <c r="I108">
        <v>1</v>
      </c>
      <c r="K108">
        <f t="shared" si="1"/>
        <v>6</v>
      </c>
    </row>
    <row r="109" spans="1:11" x14ac:dyDescent="0.3">
      <c r="A109" t="s">
        <v>137</v>
      </c>
      <c r="G109">
        <v>4</v>
      </c>
      <c r="H109">
        <v>3</v>
      </c>
      <c r="I109">
        <v>5</v>
      </c>
      <c r="K109">
        <f t="shared" si="1"/>
        <v>12</v>
      </c>
    </row>
    <row r="110" spans="1:11" x14ac:dyDescent="0.3">
      <c r="A110" t="s">
        <v>138</v>
      </c>
      <c r="G110">
        <v>25</v>
      </c>
      <c r="K110">
        <f t="shared" si="1"/>
        <v>25</v>
      </c>
    </row>
    <row r="111" spans="1:11" x14ac:dyDescent="0.3">
      <c r="A111" t="s">
        <v>139</v>
      </c>
      <c r="G111">
        <v>1</v>
      </c>
      <c r="I111">
        <v>1</v>
      </c>
      <c r="K111">
        <f t="shared" si="1"/>
        <v>2</v>
      </c>
    </row>
    <row r="112" spans="1:11" x14ac:dyDescent="0.3">
      <c r="A112" t="s">
        <v>141</v>
      </c>
      <c r="C112">
        <v>2</v>
      </c>
      <c r="D112">
        <v>2</v>
      </c>
      <c r="G112">
        <v>1</v>
      </c>
      <c r="H112">
        <v>3</v>
      </c>
      <c r="K112">
        <f t="shared" si="1"/>
        <v>8</v>
      </c>
    </row>
    <row r="113" spans="1:11" x14ac:dyDescent="0.3">
      <c r="A113" t="s">
        <v>142</v>
      </c>
      <c r="D113">
        <v>1</v>
      </c>
      <c r="K113">
        <f t="shared" si="1"/>
        <v>1</v>
      </c>
    </row>
    <row r="114" spans="1:11" x14ac:dyDescent="0.3">
      <c r="A114" t="s">
        <v>143</v>
      </c>
      <c r="G114">
        <v>2</v>
      </c>
      <c r="K114">
        <f t="shared" si="1"/>
        <v>2</v>
      </c>
    </row>
    <row r="115" spans="1:11" x14ac:dyDescent="0.3">
      <c r="A115" t="s">
        <v>144</v>
      </c>
      <c r="D115">
        <v>1</v>
      </c>
      <c r="F115">
        <v>2</v>
      </c>
      <c r="G115">
        <v>3</v>
      </c>
      <c r="I115">
        <v>4</v>
      </c>
      <c r="K115">
        <f t="shared" si="1"/>
        <v>10</v>
      </c>
    </row>
    <row r="116" spans="1:11" x14ac:dyDescent="0.3">
      <c r="A116" t="s">
        <v>146</v>
      </c>
      <c r="I116">
        <v>1</v>
      </c>
      <c r="K116">
        <f t="shared" si="1"/>
        <v>1</v>
      </c>
    </row>
    <row r="117" spans="1:11" x14ac:dyDescent="0.3">
      <c r="A117" t="s">
        <v>147</v>
      </c>
      <c r="E117">
        <v>1</v>
      </c>
      <c r="G117">
        <v>1</v>
      </c>
      <c r="K117">
        <f t="shared" si="1"/>
        <v>2</v>
      </c>
    </row>
    <row r="118" spans="1:11" x14ac:dyDescent="0.3">
      <c r="A118" t="s">
        <v>148</v>
      </c>
      <c r="E118">
        <v>1</v>
      </c>
      <c r="I118">
        <v>2</v>
      </c>
      <c r="K118">
        <f t="shared" si="1"/>
        <v>3</v>
      </c>
    </row>
    <row r="119" spans="1:11" x14ac:dyDescent="0.3">
      <c r="A119" t="s">
        <v>149</v>
      </c>
      <c r="B119">
        <v>2</v>
      </c>
      <c r="K119">
        <f t="shared" si="1"/>
        <v>2</v>
      </c>
    </row>
    <row r="120" spans="1:11" x14ac:dyDescent="0.3">
      <c r="A120" t="s">
        <v>151</v>
      </c>
      <c r="H120">
        <v>15</v>
      </c>
      <c r="K120">
        <f t="shared" si="1"/>
        <v>15</v>
      </c>
    </row>
    <row r="121" spans="1:11" x14ac:dyDescent="0.3">
      <c r="A121" t="s">
        <v>152</v>
      </c>
      <c r="G121">
        <v>2</v>
      </c>
      <c r="H121">
        <v>2</v>
      </c>
      <c r="K121">
        <f t="shared" si="1"/>
        <v>4</v>
      </c>
    </row>
    <row r="122" spans="1:11" x14ac:dyDescent="0.3">
      <c r="A122" t="s">
        <v>153</v>
      </c>
      <c r="B122">
        <v>2</v>
      </c>
      <c r="K122">
        <f t="shared" si="1"/>
        <v>2</v>
      </c>
    </row>
    <row r="123" spans="1:11" x14ac:dyDescent="0.3">
      <c r="A123" t="s">
        <v>154</v>
      </c>
      <c r="H123">
        <v>2</v>
      </c>
      <c r="K123">
        <f t="shared" si="1"/>
        <v>2</v>
      </c>
    </row>
    <row r="124" spans="1:11" x14ac:dyDescent="0.3">
      <c r="A124" t="s">
        <v>156</v>
      </c>
      <c r="B124">
        <v>1</v>
      </c>
      <c r="I124">
        <v>1</v>
      </c>
      <c r="K124">
        <f t="shared" si="1"/>
        <v>2</v>
      </c>
    </row>
    <row r="125" spans="1:11" x14ac:dyDescent="0.3">
      <c r="A125" t="s">
        <v>157</v>
      </c>
      <c r="B125">
        <v>3</v>
      </c>
      <c r="K125">
        <f t="shared" si="1"/>
        <v>3</v>
      </c>
    </row>
    <row r="126" spans="1:11" x14ac:dyDescent="0.3">
      <c r="A126" t="s">
        <v>158</v>
      </c>
      <c r="I126">
        <v>5</v>
      </c>
      <c r="K126">
        <f t="shared" si="1"/>
        <v>5</v>
      </c>
    </row>
    <row r="127" spans="1:11" x14ac:dyDescent="0.3">
      <c r="A127" s="3" t="s">
        <v>255</v>
      </c>
      <c r="K127">
        <f>COUNTIF(K2:K126, "&gt;0")</f>
        <v>125</v>
      </c>
    </row>
  </sheetData>
  <hyperlinks>
    <hyperlink ref="A2" r:id="rId1" display="https://ebird.org/species/thitin1" xr:uid="{00000000-0004-0000-0000-000000000000}"/>
    <hyperlink ref="A13" r:id="rId2" display="https://ebird.org/species/gyhdov1" xr:uid="{00000000-0004-0000-0000-000001000000}"/>
    <hyperlink ref="A16" r:id="rId3" display="https://ebird.org/species/yebcuc" xr:uid="{00000000-0004-0000-0000-000002000000}"/>
    <hyperlink ref="A20" r:id="rId4" display="https://ebird.org/species/rthhum" xr:uid="{00000000-0004-0000-0000-000003000000}"/>
    <hyperlink ref="A23" r:id="rId5" display="https://ebird.org/species/rtlhum" xr:uid="{00000000-0004-0000-0000-000004000000}"/>
  </hyperlinks>
  <pageMargins left="0.7" right="0.7" top="0.75" bottom="0.75" header="0.3" footer="0.3"/>
  <pageSetup paperSize="9" orientation="portrait" horizontalDpi="4294967293" verticalDpi="4294967293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1"/>
  <sheetViews>
    <sheetView topLeftCell="A15" workbookViewId="0">
      <selection activeCell="E33" sqref="E33"/>
    </sheetView>
  </sheetViews>
  <sheetFormatPr defaultColWidth="11.5546875" defaultRowHeight="14.4" x14ac:dyDescent="0.3"/>
  <cols>
    <col min="1" max="1" width="21.88671875" customWidth="1"/>
    <col min="2" max="4" width="22.109375" customWidth="1"/>
  </cols>
  <sheetData>
    <row r="1" spans="1:5" s="9" customFormat="1" ht="43.8" customHeight="1" x14ac:dyDescent="0.3">
      <c r="A1" s="12" t="s">
        <v>0</v>
      </c>
      <c r="B1" s="9" t="s">
        <v>303</v>
      </c>
      <c r="C1" s="9" t="s">
        <v>304</v>
      </c>
      <c r="D1" s="9" t="s">
        <v>305</v>
      </c>
      <c r="E1" s="9" t="s">
        <v>273</v>
      </c>
    </row>
    <row r="2" spans="1:5" x14ac:dyDescent="0.3">
      <c r="A2" s="2" t="s">
        <v>4</v>
      </c>
      <c r="B2">
        <v>2</v>
      </c>
      <c r="C2">
        <v>1</v>
      </c>
      <c r="E2">
        <f>SUM(B2:D2)</f>
        <v>3</v>
      </c>
    </row>
    <row r="3" spans="1:5" x14ac:dyDescent="0.3">
      <c r="A3" t="s">
        <v>6</v>
      </c>
      <c r="B3">
        <v>7</v>
      </c>
      <c r="E3">
        <f t="shared" ref="E3:E66" si="0">SUM(B3:D3)</f>
        <v>7</v>
      </c>
    </row>
    <row r="4" spans="1:5" x14ac:dyDescent="0.3">
      <c r="A4" t="s">
        <v>7</v>
      </c>
      <c r="C4">
        <v>2</v>
      </c>
      <c r="D4">
        <v>1</v>
      </c>
      <c r="E4">
        <f t="shared" si="0"/>
        <v>3</v>
      </c>
    </row>
    <row r="5" spans="1:5" x14ac:dyDescent="0.3">
      <c r="A5" t="s">
        <v>9</v>
      </c>
      <c r="B5">
        <v>8</v>
      </c>
      <c r="D5">
        <v>1</v>
      </c>
      <c r="E5">
        <f t="shared" si="0"/>
        <v>9</v>
      </c>
    </row>
    <row r="6" spans="1:5" x14ac:dyDescent="0.3">
      <c r="A6" t="s">
        <v>11</v>
      </c>
      <c r="D6">
        <v>2</v>
      </c>
      <c r="E6">
        <f t="shared" si="0"/>
        <v>2</v>
      </c>
    </row>
    <row r="7" spans="1:5" x14ac:dyDescent="0.3">
      <c r="A7" t="s">
        <v>14</v>
      </c>
      <c r="C7">
        <v>1</v>
      </c>
      <c r="D7">
        <v>1</v>
      </c>
      <c r="E7">
        <f t="shared" si="0"/>
        <v>2</v>
      </c>
    </row>
    <row r="8" spans="1:5" x14ac:dyDescent="0.3">
      <c r="A8" s="2" t="s">
        <v>16</v>
      </c>
      <c r="B8">
        <v>1</v>
      </c>
      <c r="E8">
        <f t="shared" si="0"/>
        <v>1</v>
      </c>
    </row>
    <row r="9" spans="1:5" x14ac:dyDescent="0.3">
      <c r="A9" t="s">
        <v>17</v>
      </c>
      <c r="C9">
        <v>1</v>
      </c>
      <c r="D9">
        <v>1</v>
      </c>
      <c r="E9">
        <f t="shared" si="0"/>
        <v>2</v>
      </c>
    </row>
    <row r="10" spans="1:5" x14ac:dyDescent="0.3">
      <c r="A10" s="2" t="s">
        <v>22</v>
      </c>
      <c r="C10">
        <v>1</v>
      </c>
      <c r="E10">
        <f t="shared" si="0"/>
        <v>1</v>
      </c>
    </row>
    <row r="11" spans="1:5" x14ac:dyDescent="0.3">
      <c r="A11" t="s">
        <v>23</v>
      </c>
      <c r="B11">
        <v>2</v>
      </c>
      <c r="E11">
        <f t="shared" si="0"/>
        <v>2</v>
      </c>
    </row>
    <row r="12" spans="1:5" x14ac:dyDescent="0.3">
      <c r="A12" t="s">
        <v>177</v>
      </c>
      <c r="B12">
        <v>2</v>
      </c>
      <c r="E12">
        <f t="shared" si="0"/>
        <v>2</v>
      </c>
    </row>
    <row r="13" spans="1:5" x14ac:dyDescent="0.3">
      <c r="A13" t="s">
        <v>24</v>
      </c>
      <c r="B13">
        <v>1</v>
      </c>
      <c r="C13">
        <v>1</v>
      </c>
      <c r="E13">
        <f t="shared" si="0"/>
        <v>2</v>
      </c>
    </row>
    <row r="14" spans="1:5" x14ac:dyDescent="0.3">
      <c r="A14" s="2" t="s">
        <v>25</v>
      </c>
      <c r="C14">
        <v>2</v>
      </c>
      <c r="E14">
        <f t="shared" si="0"/>
        <v>2</v>
      </c>
    </row>
    <row r="15" spans="1:5" x14ac:dyDescent="0.3">
      <c r="A15" t="s">
        <v>26</v>
      </c>
      <c r="C15">
        <v>1</v>
      </c>
      <c r="E15">
        <f t="shared" si="0"/>
        <v>1</v>
      </c>
    </row>
    <row r="16" spans="1:5" x14ac:dyDescent="0.3">
      <c r="A16" t="s">
        <v>28</v>
      </c>
      <c r="B16">
        <v>2</v>
      </c>
      <c r="E16">
        <f t="shared" si="0"/>
        <v>2</v>
      </c>
    </row>
    <row r="17" spans="1:5" x14ac:dyDescent="0.3">
      <c r="A17" t="s">
        <v>193</v>
      </c>
      <c r="B17">
        <v>1</v>
      </c>
      <c r="E17">
        <f t="shared" si="0"/>
        <v>1</v>
      </c>
    </row>
    <row r="18" spans="1:5" x14ac:dyDescent="0.3">
      <c r="A18" t="s">
        <v>32</v>
      </c>
      <c r="C18">
        <v>2</v>
      </c>
      <c r="E18">
        <f t="shared" si="0"/>
        <v>2</v>
      </c>
    </row>
    <row r="19" spans="1:5" x14ac:dyDescent="0.3">
      <c r="A19" t="s">
        <v>34</v>
      </c>
      <c r="D19">
        <v>1</v>
      </c>
      <c r="E19">
        <f t="shared" si="0"/>
        <v>1</v>
      </c>
    </row>
    <row r="20" spans="1:5" x14ac:dyDescent="0.3">
      <c r="A20" t="s">
        <v>37</v>
      </c>
      <c r="B20">
        <v>1</v>
      </c>
      <c r="C20">
        <v>1</v>
      </c>
      <c r="D20">
        <v>1</v>
      </c>
      <c r="E20">
        <f t="shared" si="0"/>
        <v>3</v>
      </c>
    </row>
    <row r="21" spans="1:5" x14ac:dyDescent="0.3">
      <c r="A21" t="s">
        <v>199</v>
      </c>
      <c r="C21">
        <v>1</v>
      </c>
      <c r="E21">
        <f t="shared" si="0"/>
        <v>1</v>
      </c>
    </row>
    <row r="22" spans="1:5" x14ac:dyDescent="0.3">
      <c r="A22" t="s">
        <v>204</v>
      </c>
      <c r="D22">
        <v>2</v>
      </c>
      <c r="E22">
        <f t="shared" si="0"/>
        <v>2</v>
      </c>
    </row>
    <row r="23" spans="1:5" x14ac:dyDescent="0.3">
      <c r="A23" t="s">
        <v>40</v>
      </c>
      <c r="C23">
        <v>2</v>
      </c>
      <c r="D23">
        <v>1</v>
      </c>
      <c r="E23">
        <f t="shared" si="0"/>
        <v>3</v>
      </c>
    </row>
    <row r="24" spans="1:5" x14ac:dyDescent="0.3">
      <c r="A24" t="s">
        <v>41</v>
      </c>
      <c r="D24">
        <v>1</v>
      </c>
      <c r="E24">
        <f t="shared" si="0"/>
        <v>1</v>
      </c>
    </row>
    <row r="25" spans="1:5" x14ac:dyDescent="0.3">
      <c r="A25" t="s">
        <v>45</v>
      </c>
      <c r="D25">
        <v>1</v>
      </c>
      <c r="E25">
        <f t="shared" si="0"/>
        <v>1</v>
      </c>
    </row>
    <row r="26" spans="1:5" x14ac:dyDescent="0.3">
      <c r="A26" t="s">
        <v>49</v>
      </c>
      <c r="B26">
        <v>3</v>
      </c>
      <c r="E26">
        <f t="shared" si="0"/>
        <v>3</v>
      </c>
    </row>
    <row r="27" spans="1:5" x14ac:dyDescent="0.3">
      <c r="A27" t="s">
        <v>51</v>
      </c>
      <c r="B27">
        <v>25</v>
      </c>
      <c r="C27">
        <v>15</v>
      </c>
      <c r="E27">
        <f t="shared" si="0"/>
        <v>40</v>
      </c>
    </row>
    <row r="28" spans="1:5" x14ac:dyDescent="0.3">
      <c r="A28" t="s">
        <v>55</v>
      </c>
      <c r="C28">
        <v>1</v>
      </c>
      <c r="E28">
        <f t="shared" si="0"/>
        <v>1</v>
      </c>
    </row>
    <row r="29" spans="1:5" x14ac:dyDescent="0.3">
      <c r="A29" t="s">
        <v>56</v>
      </c>
      <c r="C29">
        <v>1</v>
      </c>
      <c r="E29">
        <f t="shared" si="0"/>
        <v>1</v>
      </c>
    </row>
    <row r="30" spans="1:5" x14ac:dyDescent="0.3">
      <c r="A30" t="s">
        <v>57</v>
      </c>
      <c r="C30">
        <v>2</v>
      </c>
      <c r="E30">
        <f t="shared" si="0"/>
        <v>2</v>
      </c>
    </row>
    <row r="31" spans="1:5" x14ac:dyDescent="0.3">
      <c r="A31" t="s">
        <v>58</v>
      </c>
      <c r="B31">
        <v>1</v>
      </c>
      <c r="C31">
        <v>1</v>
      </c>
      <c r="D31">
        <v>1</v>
      </c>
      <c r="E31">
        <f t="shared" si="0"/>
        <v>3</v>
      </c>
    </row>
    <row r="32" spans="1:5" x14ac:dyDescent="0.3">
      <c r="A32" t="s">
        <v>62</v>
      </c>
      <c r="C32">
        <v>1</v>
      </c>
      <c r="D32">
        <v>1</v>
      </c>
      <c r="E32">
        <f t="shared" si="0"/>
        <v>2</v>
      </c>
    </row>
    <row r="33" spans="1:5" x14ac:dyDescent="0.3">
      <c r="A33" t="s">
        <v>63</v>
      </c>
      <c r="B33">
        <v>2</v>
      </c>
      <c r="E33">
        <f t="shared" si="0"/>
        <v>2</v>
      </c>
    </row>
    <row r="34" spans="1:5" x14ac:dyDescent="0.3">
      <c r="A34" t="s">
        <v>64</v>
      </c>
      <c r="D34">
        <v>2</v>
      </c>
      <c r="E34">
        <f t="shared" si="0"/>
        <v>2</v>
      </c>
    </row>
    <row r="35" spans="1:5" x14ac:dyDescent="0.3">
      <c r="A35" t="s">
        <v>65</v>
      </c>
      <c r="D35">
        <v>1</v>
      </c>
      <c r="E35">
        <f t="shared" si="0"/>
        <v>1</v>
      </c>
    </row>
    <row r="36" spans="1:5" x14ac:dyDescent="0.3">
      <c r="A36" t="s">
        <v>67</v>
      </c>
      <c r="D36">
        <v>1</v>
      </c>
      <c r="E36">
        <f t="shared" si="0"/>
        <v>1</v>
      </c>
    </row>
    <row r="37" spans="1:5" x14ac:dyDescent="0.3">
      <c r="A37" t="s">
        <v>68</v>
      </c>
      <c r="C37">
        <v>1</v>
      </c>
      <c r="D37">
        <v>1</v>
      </c>
      <c r="E37">
        <f t="shared" si="0"/>
        <v>2</v>
      </c>
    </row>
    <row r="38" spans="1:5" x14ac:dyDescent="0.3">
      <c r="A38" t="s">
        <v>69</v>
      </c>
      <c r="B38">
        <v>1</v>
      </c>
      <c r="E38">
        <f t="shared" si="0"/>
        <v>1</v>
      </c>
    </row>
    <row r="39" spans="1:5" x14ac:dyDescent="0.3">
      <c r="A39" t="s">
        <v>70</v>
      </c>
      <c r="C39">
        <v>1</v>
      </c>
      <c r="D39">
        <v>1</v>
      </c>
      <c r="E39">
        <f t="shared" si="0"/>
        <v>2</v>
      </c>
    </row>
    <row r="40" spans="1:5" x14ac:dyDescent="0.3">
      <c r="A40" t="s">
        <v>71</v>
      </c>
      <c r="B40">
        <v>2</v>
      </c>
      <c r="E40">
        <f t="shared" si="0"/>
        <v>2</v>
      </c>
    </row>
    <row r="41" spans="1:5" x14ac:dyDescent="0.3">
      <c r="A41" t="s">
        <v>72</v>
      </c>
      <c r="B41">
        <v>1</v>
      </c>
      <c r="C41">
        <v>4</v>
      </c>
      <c r="E41">
        <f t="shared" si="0"/>
        <v>5</v>
      </c>
    </row>
    <row r="42" spans="1:5" x14ac:dyDescent="0.3">
      <c r="A42" t="s">
        <v>221</v>
      </c>
      <c r="B42">
        <v>2</v>
      </c>
      <c r="E42">
        <f t="shared" si="0"/>
        <v>2</v>
      </c>
    </row>
    <row r="43" spans="1:5" x14ac:dyDescent="0.3">
      <c r="A43" t="s">
        <v>82</v>
      </c>
      <c r="B43">
        <v>1</v>
      </c>
      <c r="E43">
        <f t="shared" si="0"/>
        <v>1</v>
      </c>
    </row>
    <row r="44" spans="1:5" x14ac:dyDescent="0.3">
      <c r="A44" t="s">
        <v>84</v>
      </c>
      <c r="C44">
        <v>2</v>
      </c>
      <c r="D44">
        <v>5</v>
      </c>
      <c r="E44">
        <f t="shared" si="0"/>
        <v>7</v>
      </c>
    </row>
    <row r="45" spans="1:5" x14ac:dyDescent="0.3">
      <c r="A45" t="s">
        <v>85</v>
      </c>
      <c r="B45">
        <v>2</v>
      </c>
      <c r="E45">
        <f t="shared" si="0"/>
        <v>2</v>
      </c>
    </row>
    <row r="46" spans="1:5" x14ac:dyDescent="0.3">
      <c r="A46" t="s">
        <v>87</v>
      </c>
      <c r="D46">
        <v>2</v>
      </c>
      <c r="E46">
        <f t="shared" si="0"/>
        <v>2</v>
      </c>
    </row>
    <row r="47" spans="1:5" x14ac:dyDescent="0.3">
      <c r="A47" t="s">
        <v>88</v>
      </c>
      <c r="C47">
        <v>3</v>
      </c>
      <c r="E47">
        <f t="shared" si="0"/>
        <v>3</v>
      </c>
    </row>
    <row r="48" spans="1:5" x14ac:dyDescent="0.3">
      <c r="A48" t="s">
        <v>89</v>
      </c>
      <c r="D48">
        <v>2</v>
      </c>
      <c r="E48">
        <f t="shared" si="0"/>
        <v>2</v>
      </c>
    </row>
    <row r="49" spans="1:5" x14ac:dyDescent="0.3">
      <c r="A49" t="s">
        <v>95</v>
      </c>
      <c r="D49">
        <v>1</v>
      </c>
      <c r="E49">
        <f t="shared" si="0"/>
        <v>1</v>
      </c>
    </row>
    <row r="50" spans="1:5" x14ac:dyDescent="0.3">
      <c r="A50" t="s">
        <v>96</v>
      </c>
      <c r="B50">
        <v>2</v>
      </c>
      <c r="C50">
        <v>2</v>
      </c>
      <c r="E50">
        <f t="shared" si="0"/>
        <v>4</v>
      </c>
    </row>
    <row r="51" spans="1:5" x14ac:dyDescent="0.3">
      <c r="A51" t="s">
        <v>99</v>
      </c>
      <c r="B51">
        <v>2</v>
      </c>
      <c r="C51">
        <v>2</v>
      </c>
      <c r="D51">
        <v>1</v>
      </c>
      <c r="E51">
        <f t="shared" si="0"/>
        <v>5</v>
      </c>
    </row>
    <row r="52" spans="1:5" x14ac:dyDescent="0.3">
      <c r="A52" t="s">
        <v>101</v>
      </c>
      <c r="B52">
        <v>1</v>
      </c>
      <c r="C52">
        <v>1</v>
      </c>
      <c r="E52">
        <f t="shared" si="0"/>
        <v>2</v>
      </c>
    </row>
    <row r="53" spans="1:5" x14ac:dyDescent="0.3">
      <c r="A53" t="s">
        <v>103</v>
      </c>
      <c r="C53">
        <v>1</v>
      </c>
      <c r="E53">
        <f t="shared" si="0"/>
        <v>1</v>
      </c>
    </row>
    <row r="54" spans="1:5" x14ac:dyDescent="0.3">
      <c r="A54" t="s">
        <v>111</v>
      </c>
      <c r="C54">
        <v>2</v>
      </c>
      <c r="E54">
        <f t="shared" si="0"/>
        <v>2</v>
      </c>
    </row>
    <row r="55" spans="1:5" x14ac:dyDescent="0.3">
      <c r="A55" t="s">
        <v>112</v>
      </c>
      <c r="D55">
        <v>2</v>
      </c>
      <c r="E55">
        <f t="shared" si="0"/>
        <v>2</v>
      </c>
    </row>
    <row r="56" spans="1:5" x14ac:dyDescent="0.3">
      <c r="A56" t="s">
        <v>113</v>
      </c>
      <c r="B56">
        <v>1</v>
      </c>
      <c r="E56">
        <f t="shared" si="0"/>
        <v>1</v>
      </c>
    </row>
    <row r="57" spans="1:5" x14ac:dyDescent="0.3">
      <c r="A57" t="s">
        <v>114</v>
      </c>
      <c r="C57">
        <v>2</v>
      </c>
      <c r="E57">
        <f t="shared" si="0"/>
        <v>2</v>
      </c>
    </row>
    <row r="58" spans="1:5" x14ac:dyDescent="0.3">
      <c r="A58" t="s">
        <v>121</v>
      </c>
      <c r="C58">
        <v>2</v>
      </c>
      <c r="E58">
        <f t="shared" si="0"/>
        <v>2</v>
      </c>
    </row>
    <row r="59" spans="1:5" x14ac:dyDescent="0.3">
      <c r="A59" t="s">
        <v>128</v>
      </c>
      <c r="C59">
        <v>1</v>
      </c>
      <c r="D59">
        <v>1</v>
      </c>
      <c r="E59">
        <f t="shared" si="0"/>
        <v>2</v>
      </c>
    </row>
    <row r="60" spans="1:5" x14ac:dyDescent="0.3">
      <c r="A60" t="s">
        <v>129</v>
      </c>
      <c r="C60">
        <v>2</v>
      </c>
      <c r="E60">
        <f t="shared" si="0"/>
        <v>2</v>
      </c>
    </row>
    <row r="61" spans="1:5" x14ac:dyDescent="0.3">
      <c r="A61" t="s">
        <v>134</v>
      </c>
      <c r="C61">
        <v>1</v>
      </c>
      <c r="E61">
        <f t="shared" si="0"/>
        <v>1</v>
      </c>
    </row>
    <row r="62" spans="1:5" x14ac:dyDescent="0.3">
      <c r="A62" t="s">
        <v>135</v>
      </c>
      <c r="C62">
        <v>1</v>
      </c>
      <c r="E62">
        <f t="shared" si="0"/>
        <v>1</v>
      </c>
    </row>
    <row r="63" spans="1:5" x14ac:dyDescent="0.3">
      <c r="A63" t="s">
        <v>138</v>
      </c>
      <c r="C63">
        <v>1</v>
      </c>
      <c r="E63">
        <f t="shared" si="0"/>
        <v>1</v>
      </c>
    </row>
    <row r="64" spans="1:5" x14ac:dyDescent="0.3">
      <c r="A64" t="s">
        <v>141</v>
      </c>
      <c r="B64">
        <v>4</v>
      </c>
      <c r="E64">
        <f t="shared" si="0"/>
        <v>4</v>
      </c>
    </row>
    <row r="65" spans="1:5" x14ac:dyDescent="0.3">
      <c r="A65" t="s">
        <v>143</v>
      </c>
      <c r="C65">
        <v>2</v>
      </c>
      <c r="E65">
        <f t="shared" si="0"/>
        <v>2</v>
      </c>
    </row>
    <row r="66" spans="1:5" x14ac:dyDescent="0.3">
      <c r="A66" t="s">
        <v>144</v>
      </c>
      <c r="B66">
        <v>5</v>
      </c>
      <c r="D66">
        <v>4</v>
      </c>
      <c r="E66">
        <f t="shared" si="0"/>
        <v>9</v>
      </c>
    </row>
    <row r="67" spans="1:5" x14ac:dyDescent="0.3">
      <c r="A67" t="s">
        <v>147</v>
      </c>
      <c r="B67">
        <v>2</v>
      </c>
      <c r="C67">
        <v>2</v>
      </c>
      <c r="D67">
        <v>1</v>
      </c>
      <c r="E67">
        <f t="shared" ref="E67:E70" si="1">SUM(B67:D67)</f>
        <v>5</v>
      </c>
    </row>
    <row r="68" spans="1:5" x14ac:dyDescent="0.3">
      <c r="A68" t="s">
        <v>148</v>
      </c>
      <c r="C68">
        <v>1</v>
      </c>
      <c r="E68">
        <f t="shared" si="1"/>
        <v>1</v>
      </c>
    </row>
    <row r="69" spans="1:5" x14ac:dyDescent="0.3">
      <c r="A69" t="s">
        <v>152</v>
      </c>
      <c r="D69">
        <v>1</v>
      </c>
      <c r="E69">
        <f t="shared" si="1"/>
        <v>1</v>
      </c>
    </row>
    <row r="70" spans="1:5" x14ac:dyDescent="0.3">
      <c r="A70" t="s">
        <v>154</v>
      </c>
      <c r="C70">
        <v>3</v>
      </c>
      <c r="E70">
        <f t="shared" si="1"/>
        <v>3</v>
      </c>
    </row>
    <row r="71" spans="1:5" x14ac:dyDescent="0.3">
      <c r="A71" s="3" t="s">
        <v>256</v>
      </c>
      <c r="E71">
        <f>COUNT(E2:E70)</f>
        <v>69</v>
      </c>
    </row>
  </sheetData>
  <hyperlinks>
    <hyperlink ref="A2" r:id="rId1" display="https://ebird.org/species/thitin1" xr:uid="{00000000-0004-0000-0100-000000000000}"/>
    <hyperlink ref="A10" r:id="rId2" display="https://ebird.org/species/rthhum" xr:uid="{00000000-0004-0000-0100-000001000000}"/>
    <hyperlink ref="A14" r:id="rId3" display="https://ebird.org/species/rtlhum" xr:uid="{00000000-0004-0000-0100-000002000000}"/>
  </hyperlink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5"/>
  <sheetViews>
    <sheetView topLeftCell="C70" workbookViewId="0">
      <selection activeCell="I85" sqref="I85"/>
    </sheetView>
  </sheetViews>
  <sheetFormatPr defaultColWidth="11.5546875" defaultRowHeight="14.4" x14ac:dyDescent="0.3"/>
  <cols>
    <col min="1" max="1" width="22.109375" customWidth="1"/>
    <col min="2" max="4" width="15.77734375" customWidth="1"/>
    <col min="5" max="5" width="22.21875" bestFit="1" customWidth="1"/>
    <col min="6" max="6" width="0" hidden="1" customWidth="1"/>
  </cols>
  <sheetData>
    <row r="1" spans="1:7" s="9" customFormat="1" ht="28.8" x14ac:dyDescent="0.3">
      <c r="A1" s="12" t="s">
        <v>0</v>
      </c>
      <c r="B1" s="9" t="s">
        <v>299</v>
      </c>
      <c r="C1" s="9" t="s">
        <v>300</v>
      </c>
      <c r="D1" s="9" t="s">
        <v>301</v>
      </c>
      <c r="E1" s="9" t="s">
        <v>302</v>
      </c>
      <c r="F1" s="9" t="s">
        <v>224</v>
      </c>
      <c r="G1" s="9" t="s">
        <v>273</v>
      </c>
    </row>
    <row r="2" spans="1:7" x14ac:dyDescent="0.3">
      <c r="A2" t="s">
        <v>160</v>
      </c>
      <c r="C2">
        <v>1</v>
      </c>
      <c r="G2">
        <f>SUM(Table7[[#This Row],[FELA-01 - dry forests - 18.202463, -89.252240]:[FELA-04 - dry forests - 18.229333, -89.251451]])</f>
        <v>1</v>
      </c>
    </row>
    <row r="3" spans="1:7" x14ac:dyDescent="0.3">
      <c r="A3" s="2" t="s">
        <v>4</v>
      </c>
      <c r="C3">
        <v>3</v>
      </c>
      <c r="D3">
        <v>1</v>
      </c>
      <c r="G3">
        <f>SUM(Table7[[#This Row],[FELA-01 - dry forests - 18.202463, -89.252240]:[FELA-04 - dry forests - 18.229333, -89.251451]])</f>
        <v>4</v>
      </c>
    </row>
    <row r="4" spans="1:7" x14ac:dyDescent="0.3">
      <c r="A4" t="s">
        <v>6</v>
      </c>
      <c r="B4">
        <v>5</v>
      </c>
      <c r="F4">
        <v>1</v>
      </c>
      <c r="G4">
        <f>SUM(Table7[[#This Row],[FELA-01 - dry forests - 18.202463, -89.252240]:[FELA-04 - dry forests - 18.229333, -89.251451]])</f>
        <v>5</v>
      </c>
    </row>
    <row r="5" spans="1:7" x14ac:dyDescent="0.3">
      <c r="A5" t="s">
        <v>7</v>
      </c>
      <c r="F5">
        <v>1</v>
      </c>
      <c r="G5">
        <f>SUM(Table7[[#This Row],[FELA-01 - dry forests - 18.202463, -89.252240]:[FELA-04 - dry forests - 18.229333, -89.251451]])</f>
        <v>0</v>
      </c>
    </row>
    <row r="6" spans="1:7" x14ac:dyDescent="0.3">
      <c r="A6" t="s">
        <v>8</v>
      </c>
      <c r="F6">
        <v>1</v>
      </c>
      <c r="G6">
        <f>SUM(Table7[[#This Row],[FELA-01 - dry forests - 18.202463, -89.252240]:[FELA-04 - dry forests - 18.229333, -89.251451]])</f>
        <v>0</v>
      </c>
    </row>
    <row r="7" spans="1:7" x14ac:dyDescent="0.3">
      <c r="A7" t="s">
        <v>163</v>
      </c>
      <c r="B7">
        <v>1</v>
      </c>
      <c r="G7">
        <f>SUM(Table7[[#This Row],[FELA-01 - dry forests - 18.202463, -89.252240]:[FELA-04 - dry forests - 18.229333, -89.251451]])</f>
        <v>1</v>
      </c>
    </row>
    <row r="8" spans="1:7" x14ac:dyDescent="0.3">
      <c r="A8" t="s">
        <v>9</v>
      </c>
      <c r="F8">
        <v>1</v>
      </c>
      <c r="G8">
        <f>SUM(Table7[[#This Row],[FELA-01 - dry forests - 18.202463, -89.252240]:[FELA-04 - dry forests - 18.229333, -89.251451]])</f>
        <v>0</v>
      </c>
    </row>
    <row r="9" spans="1:7" x14ac:dyDescent="0.3">
      <c r="A9" t="s">
        <v>10</v>
      </c>
      <c r="D9">
        <v>2</v>
      </c>
      <c r="G9">
        <f>SUM(Table7[[#This Row],[FELA-01 - dry forests - 18.202463, -89.252240]:[FELA-04 - dry forests - 18.229333, -89.251451]])</f>
        <v>2</v>
      </c>
    </row>
    <row r="10" spans="1:7" x14ac:dyDescent="0.3">
      <c r="A10" t="s">
        <v>11</v>
      </c>
      <c r="B10">
        <v>2</v>
      </c>
      <c r="G10">
        <f>SUM(Table7[[#This Row],[FELA-01 - dry forests - 18.202463, -89.252240]:[FELA-04 - dry forests - 18.229333, -89.251451]])</f>
        <v>2</v>
      </c>
    </row>
    <row r="11" spans="1:7" x14ac:dyDescent="0.3">
      <c r="A11" t="s">
        <v>167</v>
      </c>
      <c r="B11">
        <v>3</v>
      </c>
      <c r="G11">
        <f>SUM(Table7[[#This Row],[FELA-01 - dry forests - 18.202463, -89.252240]:[FELA-04 - dry forests - 18.229333, -89.251451]])</f>
        <v>3</v>
      </c>
    </row>
    <row r="12" spans="1:7" x14ac:dyDescent="0.3">
      <c r="A12" t="s">
        <v>170</v>
      </c>
      <c r="B12">
        <v>6</v>
      </c>
      <c r="G12">
        <f>SUM(Table7[[#This Row],[FELA-01 - dry forests - 18.202463, -89.252240]:[FELA-04 - dry forests - 18.229333, -89.251451]])</f>
        <v>6</v>
      </c>
    </row>
    <row r="13" spans="1:7" x14ac:dyDescent="0.3">
      <c r="A13" t="s">
        <v>13</v>
      </c>
      <c r="B13">
        <v>1</v>
      </c>
      <c r="F13">
        <v>1</v>
      </c>
      <c r="G13">
        <f>SUM(Table7[[#This Row],[FELA-01 - dry forests - 18.202463, -89.252240]:[FELA-04 - dry forests - 18.229333, -89.251451]])</f>
        <v>1</v>
      </c>
    </row>
    <row r="14" spans="1:7" x14ac:dyDescent="0.3">
      <c r="A14" t="s">
        <v>14</v>
      </c>
      <c r="B14">
        <v>2</v>
      </c>
      <c r="G14">
        <f>SUM(Table7[[#This Row],[FELA-01 - dry forests - 18.202463, -89.252240]:[FELA-04 - dry forests - 18.229333, -89.251451]])</f>
        <v>2</v>
      </c>
    </row>
    <row r="15" spans="1:7" x14ac:dyDescent="0.3">
      <c r="A15" t="s">
        <v>171</v>
      </c>
      <c r="B15">
        <v>5</v>
      </c>
      <c r="G15">
        <f>SUM(Table7[[#This Row],[FELA-01 - dry forests - 18.202463, -89.252240]:[FELA-04 - dry forests - 18.229333, -89.251451]])</f>
        <v>5</v>
      </c>
    </row>
    <row r="16" spans="1:7" x14ac:dyDescent="0.3">
      <c r="A16" s="2" t="s">
        <v>172</v>
      </c>
      <c r="B16">
        <v>3</v>
      </c>
      <c r="G16">
        <f>SUM(Table7[[#This Row],[FELA-01 - dry forests - 18.202463, -89.252240]:[FELA-04 - dry forests - 18.229333, -89.251451]])</f>
        <v>3</v>
      </c>
    </row>
    <row r="17" spans="1:7" x14ac:dyDescent="0.3">
      <c r="A17" t="s">
        <v>17</v>
      </c>
      <c r="C17">
        <v>1</v>
      </c>
      <c r="G17">
        <f>SUM(Table7[[#This Row],[FELA-01 - dry forests - 18.202463, -89.252240]:[FELA-04 - dry forests - 18.229333, -89.251451]])</f>
        <v>1</v>
      </c>
    </row>
    <row r="18" spans="1:7" x14ac:dyDescent="0.3">
      <c r="A18" t="s">
        <v>19</v>
      </c>
      <c r="C18">
        <v>3</v>
      </c>
      <c r="E18">
        <v>1</v>
      </c>
      <c r="G18">
        <f>SUM(Table7[[#This Row],[FELA-01 - dry forests - 18.202463, -89.252240]:[FELA-04 - dry forests - 18.229333, -89.251451]])</f>
        <v>4</v>
      </c>
    </row>
    <row r="19" spans="1:7" x14ac:dyDescent="0.3">
      <c r="A19" t="s">
        <v>20</v>
      </c>
      <c r="C19">
        <v>7</v>
      </c>
      <c r="E19">
        <v>2</v>
      </c>
      <c r="G19">
        <f>SUM(Table7[[#This Row],[FELA-01 - dry forests - 18.202463, -89.252240]:[FELA-04 - dry forests - 18.229333, -89.251451]])</f>
        <v>9</v>
      </c>
    </row>
    <row r="20" spans="1:7" x14ac:dyDescent="0.3">
      <c r="A20" t="s">
        <v>21</v>
      </c>
      <c r="C20">
        <v>6</v>
      </c>
      <c r="E20">
        <v>1</v>
      </c>
      <c r="G20">
        <f>SUM(Table7[[#This Row],[FELA-01 - dry forests - 18.202463, -89.252240]:[FELA-04 - dry forests - 18.229333, -89.251451]])</f>
        <v>7</v>
      </c>
    </row>
    <row r="21" spans="1:7" x14ac:dyDescent="0.3">
      <c r="A21" t="s">
        <v>175</v>
      </c>
      <c r="C21">
        <v>2</v>
      </c>
      <c r="G21">
        <f>SUM(Table7[[#This Row],[FELA-01 - dry forests - 18.202463, -89.252240]:[FELA-04 - dry forests - 18.229333, -89.251451]])</f>
        <v>2</v>
      </c>
    </row>
    <row r="22" spans="1:7" x14ac:dyDescent="0.3">
      <c r="A22" t="s">
        <v>177</v>
      </c>
      <c r="C22">
        <v>1</v>
      </c>
      <c r="D22">
        <v>1</v>
      </c>
      <c r="G22">
        <f>SUM(Table7[[#This Row],[FELA-01 - dry forests - 18.202463, -89.252240]:[FELA-04 - dry forests - 18.229333, -89.251451]])</f>
        <v>2</v>
      </c>
    </row>
    <row r="23" spans="1:7" x14ac:dyDescent="0.3">
      <c r="A23" t="s">
        <v>27</v>
      </c>
      <c r="F23">
        <v>1</v>
      </c>
      <c r="G23">
        <f>SUM(Table7[[#This Row],[FELA-01 - dry forests - 18.202463, -89.252240]:[FELA-04 - dry forests - 18.229333, -89.251451]])</f>
        <v>0</v>
      </c>
    </row>
    <row r="24" spans="1:7" x14ac:dyDescent="0.3">
      <c r="A24" t="s">
        <v>185</v>
      </c>
      <c r="B24">
        <v>1</v>
      </c>
      <c r="G24">
        <f>SUM(Table7[[#This Row],[FELA-01 - dry forests - 18.202463, -89.252240]:[FELA-04 - dry forests - 18.229333, -89.251451]])</f>
        <v>1</v>
      </c>
    </row>
    <row r="25" spans="1:7" x14ac:dyDescent="0.3">
      <c r="A25" t="s">
        <v>186</v>
      </c>
      <c r="F25">
        <v>1</v>
      </c>
      <c r="G25">
        <f>SUM(Table7[[#This Row],[FELA-01 - dry forests - 18.202463, -89.252240]:[FELA-04 - dry forests - 18.229333, -89.251451]])</f>
        <v>0</v>
      </c>
    </row>
    <row r="26" spans="1:7" x14ac:dyDescent="0.3">
      <c r="A26" t="s">
        <v>28</v>
      </c>
      <c r="B26">
        <v>3</v>
      </c>
      <c r="G26">
        <f>SUM(Table7[[#This Row],[FELA-01 - dry forests - 18.202463, -89.252240]:[FELA-04 - dry forests - 18.229333, -89.251451]])</f>
        <v>3</v>
      </c>
    </row>
    <row r="27" spans="1:7" x14ac:dyDescent="0.3">
      <c r="A27" t="s">
        <v>29</v>
      </c>
      <c r="B27">
        <v>5</v>
      </c>
      <c r="G27">
        <f>SUM(Table7[[#This Row],[FELA-01 - dry forests - 18.202463, -89.252240]:[FELA-04 - dry forests - 18.229333, -89.251451]])</f>
        <v>5</v>
      </c>
    </row>
    <row r="28" spans="1:7" x14ac:dyDescent="0.3">
      <c r="A28" t="s">
        <v>31</v>
      </c>
      <c r="C28">
        <v>1</v>
      </c>
      <c r="F28">
        <v>1</v>
      </c>
      <c r="G28">
        <f>SUM(Table7[[#This Row],[FELA-01 - dry forests - 18.202463, -89.252240]:[FELA-04 - dry forests - 18.229333, -89.251451]])</f>
        <v>1</v>
      </c>
    </row>
    <row r="29" spans="1:7" x14ac:dyDescent="0.3">
      <c r="A29" t="s">
        <v>197</v>
      </c>
      <c r="B29">
        <v>1</v>
      </c>
      <c r="G29">
        <f>SUM(Table7[[#This Row],[FELA-01 - dry forests - 18.202463, -89.252240]:[FELA-04 - dry forests - 18.229333, -89.251451]])</f>
        <v>1</v>
      </c>
    </row>
    <row r="30" spans="1:7" x14ac:dyDescent="0.3">
      <c r="A30" t="s">
        <v>33</v>
      </c>
      <c r="C30">
        <v>3</v>
      </c>
      <c r="E30">
        <v>1</v>
      </c>
      <c r="G30">
        <f>SUM(Table7[[#This Row],[FELA-01 - dry forests - 18.202463, -89.252240]:[FELA-04 - dry forests - 18.229333, -89.251451]])</f>
        <v>4</v>
      </c>
    </row>
    <row r="31" spans="1:7" x14ac:dyDescent="0.3">
      <c r="A31" t="s">
        <v>198</v>
      </c>
      <c r="C31">
        <v>1</v>
      </c>
      <c r="G31">
        <f>SUM(Table7[[#This Row],[FELA-01 - dry forests - 18.202463, -89.252240]:[FELA-04 - dry forests - 18.229333, -89.251451]])</f>
        <v>1</v>
      </c>
    </row>
    <row r="32" spans="1:7" x14ac:dyDescent="0.3">
      <c r="A32" t="s">
        <v>34</v>
      </c>
      <c r="E32">
        <v>1</v>
      </c>
      <c r="G32">
        <f>SUM(Table7[[#This Row],[FELA-01 - dry forests - 18.202463, -89.252240]:[FELA-04 - dry forests - 18.229333, -89.251451]])</f>
        <v>1</v>
      </c>
    </row>
    <row r="33" spans="1:7" x14ac:dyDescent="0.3">
      <c r="A33" t="s">
        <v>35</v>
      </c>
      <c r="C33">
        <v>2</v>
      </c>
      <c r="G33">
        <f>SUM(Table7[[#This Row],[FELA-01 - dry forests - 18.202463, -89.252240]:[FELA-04 - dry forests - 18.229333, -89.251451]])</f>
        <v>2</v>
      </c>
    </row>
    <row r="34" spans="1:7" x14ac:dyDescent="0.3">
      <c r="A34" t="s">
        <v>36</v>
      </c>
      <c r="C34">
        <v>1</v>
      </c>
      <c r="G34">
        <f>SUM(Table7[[#This Row],[FELA-01 - dry forests - 18.202463, -89.252240]:[FELA-04 - dry forests - 18.229333, -89.251451]])</f>
        <v>1</v>
      </c>
    </row>
    <row r="35" spans="1:7" x14ac:dyDescent="0.3">
      <c r="A35" t="s">
        <v>37</v>
      </c>
      <c r="D35">
        <v>1</v>
      </c>
      <c r="G35">
        <f>SUM(Table7[[#This Row],[FELA-01 - dry forests - 18.202463, -89.252240]:[FELA-04 - dry forests - 18.229333, -89.251451]])</f>
        <v>1</v>
      </c>
    </row>
    <row r="36" spans="1:7" x14ac:dyDescent="0.3">
      <c r="A36" t="s">
        <v>40</v>
      </c>
      <c r="B36">
        <v>1</v>
      </c>
      <c r="D36">
        <v>1</v>
      </c>
      <c r="G36">
        <f>SUM(Table7[[#This Row],[FELA-01 - dry forests - 18.202463, -89.252240]:[FELA-04 - dry forests - 18.229333, -89.251451]])</f>
        <v>2</v>
      </c>
    </row>
    <row r="37" spans="1:7" x14ac:dyDescent="0.3">
      <c r="A37" t="s">
        <v>41</v>
      </c>
      <c r="B37">
        <v>2</v>
      </c>
      <c r="C37">
        <v>1</v>
      </c>
      <c r="G37">
        <f>SUM(Table7[[#This Row],[FELA-01 - dry forests - 18.202463, -89.252240]:[FELA-04 - dry forests - 18.229333, -89.251451]])</f>
        <v>3</v>
      </c>
    </row>
    <row r="38" spans="1:7" x14ac:dyDescent="0.3">
      <c r="A38" t="s">
        <v>51</v>
      </c>
      <c r="B38">
        <v>3</v>
      </c>
      <c r="G38">
        <f>SUM(Table7[[#This Row],[FELA-01 - dry forests - 18.202463, -89.252240]:[FELA-04 - dry forests - 18.229333, -89.251451]])</f>
        <v>3</v>
      </c>
    </row>
    <row r="39" spans="1:7" x14ac:dyDescent="0.3">
      <c r="A39" t="s">
        <v>55</v>
      </c>
      <c r="D39">
        <v>1</v>
      </c>
      <c r="G39">
        <f>SUM(Table7[[#This Row],[FELA-01 - dry forests - 18.202463, -89.252240]:[FELA-04 - dry forests - 18.229333, -89.251451]])</f>
        <v>1</v>
      </c>
    </row>
    <row r="40" spans="1:7" x14ac:dyDescent="0.3">
      <c r="A40" t="s">
        <v>209</v>
      </c>
      <c r="D40">
        <v>3</v>
      </c>
      <c r="G40">
        <f>SUM(Table7[[#This Row],[FELA-01 - dry forests - 18.202463, -89.252240]:[FELA-04 - dry forests - 18.229333, -89.251451]])</f>
        <v>3</v>
      </c>
    </row>
    <row r="41" spans="1:7" x14ac:dyDescent="0.3">
      <c r="A41" t="s">
        <v>210</v>
      </c>
      <c r="B41">
        <v>2</v>
      </c>
      <c r="C41">
        <v>1</v>
      </c>
      <c r="G41">
        <f>SUM(Table7[[#This Row],[FELA-01 - dry forests - 18.202463, -89.252240]:[FELA-04 - dry forests - 18.229333, -89.251451]])</f>
        <v>3</v>
      </c>
    </row>
    <row r="42" spans="1:7" x14ac:dyDescent="0.3">
      <c r="A42" t="s">
        <v>59</v>
      </c>
      <c r="C42">
        <v>1</v>
      </c>
      <c r="G42">
        <f>SUM(Table7[[#This Row],[FELA-01 - dry forests - 18.202463, -89.252240]:[FELA-04 - dry forests - 18.229333, -89.251451]])</f>
        <v>1</v>
      </c>
    </row>
    <row r="43" spans="1:7" x14ac:dyDescent="0.3">
      <c r="A43" t="s">
        <v>211</v>
      </c>
      <c r="D43">
        <v>1</v>
      </c>
      <c r="G43">
        <f>SUM(Table7[[#This Row],[FELA-01 - dry forests - 18.202463, -89.252240]:[FELA-04 - dry forests - 18.229333, -89.251451]])</f>
        <v>1</v>
      </c>
    </row>
    <row r="44" spans="1:7" x14ac:dyDescent="0.3">
      <c r="A44" t="s">
        <v>212</v>
      </c>
      <c r="D44">
        <v>1</v>
      </c>
      <c r="G44">
        <f>SUM(Table7[[#This Row],[FELA-01 - dry forests - 18.202463, -89.252240]:[FELA-04 - dry forests - 18.229333, -89.251451]])</f>
        <v>1</v>
      </c>
    </row>
    <row r="45" spans="1:7" x14ac:dyDescent="0.3">
      <c r="A45" t="s">
        <v>61</v>
      </c>
      <c r="C45">
        <v>1</v>
      </c>
      <c r="D45">
        <v>1</v>
      </c>
      <c r="G45">
        <f>SUM(Table7[[#This Row],[FELA-01 - dry forests - 18.202463, -89.252240]:[FELA-04 - dry forests - 18.229333, -89.251451]])</f>
        <v>2</v>
      </c>
    </row>
    <row r="46" spans="1:7" x14ac:dyDescent="0.3">
      <c r="A46" t="s">
        <v>63</v>
      </c>
      <c r="C46">
        <v>1</v>
      </c>
      <c r="G46">
        <f>SUM(Table7[[#This Row],[FELA-01 - dry forests - 18.202463, -89.252240]:[FELA-04 - dry forests - 18.229333, -89.251451]])</f>
        <v>1</v>
      </c>
    </row>
    <row r="47" spans="1:7" x14ac:dyDescent="0.3">
      <c r="A47" t="s">
        <v>216</v>
      </c>
      <c r="B47">
        <v>1</v>
      </c>
      <c r="G47">
        <f>SUM(Table7[[#This Row],[FELA-01 - dry forests - 18.202463, -89.252240]:[FELA-04 - dry forests - 18.229333, -89.251451]])</f>
        <v>1</v>
      </c>
    </row>
    <row r="48" spans="1:7" x14ac:dyDescent="0.3">
      <c r="A48" t="s">
        <v>65</v>
      </c>
      <c r="C48">
        <v>1</v>
      </c>
      <c r="G48">
        <f>SUM(Table7[[#This Row],[FELA-01 - dry forests - 18.202463, -89.252240]:[FELA-04 - dry forests - 18.229333, -89.251451]])</f>
        <v>1</v>
      </c>
    </row>
    <row r="49" spans="1:7" x14ac:dyDescent="0.3">
      <c r="A49" t="s">
        <v>67</v>
      </c>
      <c r="C49">
        <v>1</v>
      </c>
      <c r="D49">
        <v>1</v>
      </c>
      <c r="G49">
        <f>SUM(Table7[[#This Row],[FELA-01 - dry forests - 18.202463, -89.252240]:[FELA-04 - dry forests - 18.229333, -89.251451]])</f>
        <v>2</v>
      </c>
    </row>
    <row r="50" spans="1:7" x14ac:dyDescent="0.3">
      <c r="A50" t="s">
        <v>71</v>
      </c>
      <c r="C50">
        <v>1</v>
      </c>
      <c r="G50">
        <f>SUM(Table7[[#This Row],[FELA-01 - dry forests - 18.202463, -89.252240]:[FELA-04 - dry forests - 18.229333, -89.251451]])</f>
        <v>1</v>
      </c>
    </row>
    <row r="51" spans="1:7" x14ac:dyDescent="0.3">
      <c r="A51" t="s">
        <v>72</v>
      </c>
      <c r="C51">
        <v>1</v>
      </c>
      <c r="G51">
        <f>SUM(Table7[[#This Row],[FELA-01 - dry forests - 18.202463, -89.252240]:[FELA-04 - dry forests - 18.229333, -89.251451]])</f>
        <v>1</v>
      </c>
    </row>
    <row r="52" spans="1:7" x14ac:dyDescent="0.3">
      <c r="A52" t="s">
        <v>222</v>
      </c>
      <c r="B52">
        <v>3</v>
      </c>
      <c r="C52">
        <v>1</v>
      </c>
      <c r="G52">
        <f>SUM(Table7[[#This Row],[FELA-01 - dry forests - 18.202463, -89.252240]:[FELA-04 - dry forests - 18.229333, -89.251451]])</f>
        <v>4</v>
      </c>
    </row>
    <row r="53" spans="1:7" x14ac:dyDescent="0.3">
      <c r="A53" t="s">
        <v>76</v>
      </c>
      <c r="B53">
        <v>10</v>
      </c>
      <c r="C53">
        <v>1</v>
      </c>
      <c r="G53">
        <f>SUM(Table7[[#This Row],[FELA-01 - dry forests - 18.202463, -89.252240]:[FELA-04 - dry forests - 18.229333, -89.251451]])</f>
        <v>11</v>
      </c>
    </row>
    <row r="54" spans="1:7" x14ac:dyDescent="0.3">
      <c r="A54" t="s">
        <v>79</v>
      </c>
      <c r="B54">
        <v>6</v>
      </c>
      <c r="G54">
        <f>SUM(Table7[[#This Row],[FELA-01 - dry forests - 18.202463, -89.252240]:[FELA-04 - dry forests - 18.229333, -89.251451]])</f>
        <v>6</v>
      </c>
    </row>
    <row r="55" spans="1:7" x14ac:dyDescent="0.3">
      <c r="A55" t="s">
        <v>80</v>
      </c>
      <c r="B55">
        <v>4</v>
      </c>
      <c r="G55">
        <f>SUM(Table7[[#This Row],[FELA-01 - dry forests - 18.202463, -89.252240]:[FELA-04 - dry forests - 18.229333, -89.251451]])</f>
        <v>4</v>
      </c>
    </row>
    <row r="56" spans="1:7" x14ac:dyDescent="0.3">
      <c r="A56" t="s">
        <v>82</v>
      </c>
      <c r="B56">
        <v>3</v>
      </c>
      <c r="G56">
        <f>SUM(Table7[[#This Row],[FELA-01 - dry forests - 18.202463, -89.252240]:[FELA-04 - dry forests - 18.229333, -89.251451]])</f>
        <v>3</v>
      </c>
    </row>
    <row r="57" spans="1:7" x14ac:dyDescent="0.3">
      <c r="A57" t="s">
        <v>84</v>
      </c>
      <c r="D57">
        <v>2</v>
      </c>
      <c r="G57">
        <f>SUM(Table7[[#This Row],[FELA-01 - dry forests - 18.202463, -89.252240]:[FELA-04 - dry forests - 18.229333, -89.251451]])</f>
        <v>2</v>
      </c>
    </row>
    <row r="58" spans="1:7" x14ac:dyDescent="0.3">
      <c r="A58" t="s">
        <v>85</v>
      </c>
      <c r="B58">
        <v>1</v>
      </c>
      <c r="D58">
        <v>1</v>
      </c>
      <c r="G58">
        <f>SUM(Table7[[#This Row],[FELA-01 - dry forests - 18.202463, -89.252240]:[FELA-04 - dry forests - 18.229333, -89.251451]])</f>
        <v>2</v>
      </c>
    </row>
    <row r="59" spans="1:7" x14ac:dyDescent="0.3">
      <c r="A59" t="s">
        <v>88</v>
      </c>
      <c r="B59">
        <v>7</v>
      </c>
      <c r="G59">
        <f>SUM(Table7[[#This Row],[FELA-01 - dry forests - 18.202463, -89.252240]:[FELA-04 - dry forests - 18.229333, -89.251451]])</f>
        <v>7</v>
      </c>
    </row>
    <row r="60" spans="1:7" x14ac:dyDescent="0.3">
      <c r="A60" t="s">
        <v>89</v>
      </c>
      <c r="B60">
        <v>4</v>
      </c>
      <c r="C60">
        <v>5</v>
      </c>
      <c r="G60">
        <f>SUM(Table7[[#This Row],[FELA-01 - dry forests - 18.202463, -89.252240]:[FELA-04 - dry forests - 18.229333, -89.251451]])</f>
        <v>9</v>
      </c>
    </row>
    <row r="61" spans="1:7" x14ac:dyDescent="0.3">
      <c r="A61" t="s">
        <v>91</v>
      </c>
      <c r="B61">
        <v>2</v>
      </c>
      <c r="G61">
        <f>SUM(Table7[[#This Row],[FELA-01 - dry forests - 18.202463, -89.252240]:[FELA-04 - dry forests - 18.229333, -89.251451]])</f>
        <v>2</v>
      </c>
    </row>
    <row r="62" spans="1:7" x14ac:dyDescent="0.3">
      <c r="A62" t="s">
        <v>100</v>
      </c>
      <c r="C62">
        <v>1</v>
      </c>
      <c r="G62">
        <f>SUM(Table7[[#This Row],[FELA-01 - dry forests - 18.202463, -89.252240]:[FELA-04 - dry forests - 18.229333, -89.251451]])</f>
        <v>1</v>
      </c>
    </row>
    <row r="63" spans="1:7" x14ac:dyDescent="0.3">
      <c r="A63" t="s">
        <v>102</v>
      </c>
      <c r="C63">
        <v>1</v>
      </c>
      <c r="G63">
        <f>SUM(Table7[[#This Row],[FELA-01 - dry forests - 18.202463, -89.252240]:[FELA-04 - dry forests - 18.229333, -89.251451]])</f>
        <v>1</v>
      </c>
    </row>
    <row r="64" spans="1:7" x14ac:dyDescent="0.3">
      <c r="A64" t="s">
        <v>104</v>
      </c>
      <c r="B64">
        <v>5</v>
      </c>
      <c r="G64">
        <f>SUM(Table7[[#This Row],[FELA-01 - dry forests - 18.202463, -89.252240]:[FELA-04 - dry forests - 18.229333, -89.251451]])</f>
        <v>5</v>
      </c>
    </row>
    <row r="65" spans="1:7" x14ac:dyDescent="0.3">
      <c r="A65" t="s">
        <v>107</v>
      </c>
      <c r="B65">
        <v>3</v>
      </c>
      <c r="C65">
        <v>1</v>
      </c>
      <c r="G65">
        <f>SUM(Table7[[#This Row],[FELA-01 - dry forests - 18.202463, -89.252240]:[FELA-04 - dry forests - 18.229333, -89.251451]])</f>
        <v>4</v>
      </c>
    </row>
    <row r="66" spans="1:7" x14ac:dyDescent="0.3">
      <c r="A66" t="s">
        <v>109</v>
      </c>
      <c r="D66">
        <v>2</v>
      </c>
      <c r="G66">
        <f>SUM(Table7[[#This Row],[FELA-01 - dry forests - 18.202463, -89.252240]:[FELA-04 - dry forests - 18.229333, -89.251451]])</f>
        <v>2</v>
      </c>
    </row>
    <row r="67" spans="1:7" x14ac:dyDescent="0.3">
      <c r="A67" t="s">
        <v>110</v>
      </c>
      <c r="B67">
        <v>1</v>
      </c>
      <c r="G67">
        <f>SUM(Table7[[#This Row],[FELA-01 - dry forests - 18.202463, -89.252240]:[FELA-04 - dry forests - 18.229333, -89.251451]])</f>
        <v>1</v>
      </c>
    </row>
    <row r="68" spans="1:7" x14ac:dyDescent="0.3">
      <c r="A68" t="s">
        <v>112</v>
      </c>
      <c r="C68">
        <v>2</v>
      </c>
      <c r="G68">
        <f>SUM(Table7[[#This Row],[FELA-01 - dry forests - 18.202463, -89.252240]:[FELA-04 - dry forests - 18.229333, -89.251451]])</f>
        <v>2</v>
      </c>
    </row>
    <row r="69" spans="1:7" x14ac:dyDescent="0.3">
      <c r="A69" t="s">
        <v>122</v>
      </c>
      <c r="C69">
        <v>5</v>
      </c>
      <c r="G69">
        <f>SUM(Table7[[#This Row],[FELA-01 - dry forests - 18.202463, -89.252240]:[FELA-04 - dry forests - 18.229333, -89.251451]])</f>
        <v>5</v>
      </c>
    </row>
    <row r="70" spans="1:7" x14ac:dyDescent="0.3">
      <c r="A70" t="s">
        <v>123</v>
      </c>
      <c r="B70">
        <v>2</v>
      </c>
      <c r="G70">
        <f>SUM(Table7[[#This Row],[FELA-01 - dry forests - 18.202463, -89.252240]:[FELA-04 - dry forests - 18.229333, -89.251451]])</f>
        <v>2</v>
      </c>
    </row>
    <row r="71" spans="1:7" x14ac:dyDescent="0.3">
      <c r="A71" t="s">
        <v>124</v>
      </c>
      <c r="B71">
        <v>4</v>
      </c>
      <c r="G71">
        <f>SUM(Table7[[#This Row],[FELA-01 - dry forests - 18.202463, -89.252240]:[FELA-04 - dry forests - 18.229333, -89.251451]])</f>
        <v>4</v>
      </c>
    </row>
    <row r="72" spans="1:7" x14ac:dyDescent="0.3">
      <c r="A72" t="s">
        <v>125</v>
      </c>
      <c r="B72">
        <v>5</v>
      </c>
      <c r="G72">
        <f>SUM(Table7[[#This Row],[FELA-01 - dry forests - 18.202463, -89.252240]:[FELA-04 - dry forests - 18.229333, -89.251451]])</f>
        <v>5</v>
      </c>
    </row>
    <row r="73" spans="1:7" x14ac:dyDescent="0.3">
      <c r="A73" t="s">
        <v>128</v>
      </c>
      <c r="C73">
        <v>1</v>
      </c>
      <c r="G73">
        <f>SUM(Table7[[#This Row],[FELA-01 - dry forests - 18.202463, -89.252240]:[FELA-04 - dry forests - 18.229333, -89.251451]])</f>
        <v>1</v>
      </c>
    </row>
    <row r="74" spans="1:7" x14ac:dyDescent="0.3">
      <c r="A74" t="s">
        <v>135</v>
      </c>
      <c r="C74">
        <v>1</v>
      </c>
      <c r="G74">
        <f>SUM(Table7[[#This Row],[FELA-01 - dry forests - 18.202463, -89.252240]:[FELA-04 - dry forests - 18.229333, -89.251451]])</f>
        <v>1</v>
      </c>
    </row>
    <row r="75" spans="1:7" x14ac:dyDescent="0.3">
      <c r="A75" t="s">
        <v>141</v>
      </c>
      <c r="C75">
        <v>1</v>
      </c>
      <c r="D75">
        <v>3</v>
      </c>
      <c r="G75">
        <f>SUM(Table7[[#This Row],[FELA-01 - dry forests - 18.202463, -89.252240]:[FELA-04 - dry forests - 18.229333, -89.251451]])</f>
        <v>4</v>
      </c>
    </row>
    <row r="76" spans="1:7" x14ac:dyDescent="0.3">
      <c r="A76" t="s">
        <v>144</v>
      </c>
      <c r="C76">
        <v>2</v>
      </c>
      <c r="G76">
        <f>SUM(Table7[[#This Row],[FELA-01 - dry forests - 18.202463, -89.252240]:[FELA-04 - dry forests - 18.229333, -89.251451]])</f>
        <v>2</v>
      </c>
    </row>
    <row r="77" spans="1:7" x14ac:dyDescent="0.3">
      <c r="A77" t="s">
        <v>145</v>
      </c>
      <c r="B77">
        <v>1</v>
      </c>
      <c r="G77">
        <f>SUM(Table7[[#This Row],[FELA-01 - dry forests - 18.202463, -89.252240]:[FELA-04 - dry forests - 18.229333, -89.251451]])</f>
        <v>1</v>
      </c>
    </row>
    <row r="78" spans="1:7" x14ac:dyDescent="0.3">
      <c r="A78" t="s">
        <v>147</v>
      </c>
      <c r="D78">
        <v>1</v>
      </c>
      <c r="G78">
        <f>SUM(Table7[[#This Row],[FELA-01 - dry forests - 18.202463, -89.252240]:[FELA-04 - dry forests - 18.229333, -89.251451]])</f>
        <v>1</v>
      </c>
    </row>
    <row r="79" spans="1:7" x14ac:dyDescent="0.3">
      <c r="A79" t="s">
        <v>150</v>
      </c>
      <c r="B79">
        <v>2</v>
      </c>
      <c r="G79">
        <f>SUM(Table7[[#This Row],[FELA-01 - dry forests - 18.202463, -89.252240]:[FELA-04 - dry forests - 18.229333, -89.251451]])</f>
        <v>2</v>
      </c>
    </row>
    <row r="80" spans="1:7" x14ac:dyDescent="0.3">
      <c r="A80" t="s">
        <v>152</v>
      </c>
      <c r="D80">
        <v>1</v>
      </c>
      <c r="G80">
        <f>SUM(Table7[[#This Row],[FELA-01 - dry forests - 18.202463, -89.252240]:[FELA-04 - dry forests - 18.229333, -89.251451]])</f>
        <v>1</v>
      </c>
    </row>
    <row r="81" spans="1:7" x14ac:dyDescent="0.3">
      <c r="A81" t="s">
        <v>153</v>
      </c>
      <c r="B81">
        <v>1</v>
      </c>
      <c r="G81">
        <f>SUM(Table7[[#This Row],[FELA-01 - dry forests - 18.202463, -89.252240]:[FELA-04 - dry forests - 18.229333, -89.251451]])</f>
        <v>1</v>
      </c>
    </row>
    <row r="82" spans="1:7" x14ac:dyDescent="0.3">
      <c r="A82" t="s">
        <v>155</v>
      </c>
      <c r="B82">
        <v>17</v>
      </c>
      <c r="G82">
        <f>SUM(Table7[[#This Row],[FELA-01 - dry forests - 18.202463, -89.252240]:[FELA-04 - dry forests - 18.229333, -89.251451]])</f>
        <v>17</v>
      </c>
    </row>
    <row r="83" spans="1:7" x14ac:dyDescent="0.3">
      <c r="A83" t="s">
        <v>156</v>
      </c>
      <c r="B83">
        <v>1</v>
      </c>
      <c r="G83">
        <f>SUM(Table7[[#This Row],[FELA-01 - dry forests - 18.202463, -89.252240]:[FELA-04 - dry forests - 18.229333, -89.251451]])</f>
        <v>1</v>
      </c>
    </row>
    <row r="84" spans="1:7" x14ac:dyDescent="0.3">
      <c r="A84" t="s">
        <v>159</v>
      </c>
      <c r="B84">
        <v>6</v>
      </c>
      <c r="G84">
        <f>SUM(Table7[[#This Row],[FELA-01 - dry forests - 18.202463, -89.252240]:[FELA-04 - dry forests - 18.229333, -89.251451]])</f>
        <v>6</v>
      </c>
    </row>
    <row r="85" spans="1:7" x14ac:dyDescent="0.3">
      <c r="A85" s="3" t="s">
        <v>257</v>
      </c>
      <c r="G85">
        <f>COUNTIF(G3:G84, "&gt;0")</f>
        <v>77</v>
      </c>
    </row>
  </sheetData>
  <hyperlinks>
    <hyperlink ref="A3" r:id="rId1" display="https://ebird.org/species/thitin1" xr:uid="{00000000-0004-0000-0200-000000000000}"/>
    <hyperlink ref="A16" r:id="rId2" display="https://ebird.org/species/grbani" xr:uid="{00000000-0004-0000-0200-000001000000}"/>
  </hyperlinks>
  <pageMargins left="0.7" right="0.7" top="0.75" bottom="0.75" header="0.3" footer="0.3"/>
  <pageSetup paperSize="9" orientation="portrait" horizontalDpi="4294967293" verticalDpi="4294967293"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"/>
  <sheetViews>
    <sheetView workbookViewId="0">
      <selection activeCell="B17" sqref="B17"/>
    </sheetView>
  </sheetViews>
  <sheetFormatPr defaultColWidth="11.5546875" defaultRowHeight="14.4" x14ac:dyDescent="0.3"/>
  <cols>
    <col min="1" max="1" width="22" customWidth="1"/>
  </cols>
  <sheetData>
    <row r="1" spans="1:7" x14ac:dyDescent="0.3">
      <c r="A1" s="1" t="s">
        <v>0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</row>
    <row r="2" spans="1:7" x14ac:dyDescent="0.3">
      <c r="A2" s="1" t="s">
        <v>2</v>
      </c>
      <c r="B2" t="s">
        <v>231</v>
      </c>
      <c r="C2" t="s">
        <v>232</v>
      </c>
      <c r="D2" t="s">
        <v>233</v>
      </c>
      <c r="E2" t="s">
        <v>234</v>
      </c>
      <c r="F2" t="s">
        <v>235</v>
      </c>
    </row>
    <row r="3" spans="1:7" x14ac:dyDescent="0.3">
      <c r="A3" s="1" t="s">
        <v>3</v>
      </c>
    </row>
    <row r="4" spans="1:7" x14ac:dyDescent="0.3">
      <c r="A4" s="2" t="s">
        <v>4</v>
      </c>
      <c r="B4">
        <v>2</v>
      </c>
      <c r="F4">
        <v>1</v>
      </c>
    </row>
    <row r="5" spans="1:7" x14ac:dyDescent="0.3">
      <c r="A5" t="s">
        <v>6</v>
      </c>
      <c r="B5">
        <v>2</v>
      </c>
      <c r="G5">
        <v>1</v>
      </c>
    </row>
    <row r="6" spans="1:7" x14ac:dyDescent="0.3">
      <c r="A6" t="s">
        <v>163</v>
      </c>
      <c r="C6">
        <v>5</v>
      </c>
    </row>
    <row r="7" spans="1:7" x14ac:dyDescent="0.3">
      <c r="A7" t="s">
        <v>9</v>
      </c>
      <c r="B7">
        <v>1</v>
      </c>
    </row>
    <row r="8" spans="1:7" x14ac:dyDescent="0.3">
      <c r="A8" t="s">
        <v>166</v>
      </c>
      <c r="C8">
        <v>6</v>
      </c>
    </row>
    <row r="9" spans="1:7" x14ac:dyDescent="0.3">
      <c r="A9" t="s">
        <v>11</v>
      </c>
      <c r="B9">
        <v>1</v>
      </c>
      <c r="D9">
        <v>2</v>
      </c>
    </row>
    <row r="10" spans="1:7" x14ac:dyDescent="0.3">
      <c r="A10" t="s">
        <v>167</v>
      </c>
      <c r="C10">
        <v>2</v>
      </c>
    </row>
    <row r="11" spans="1:7" x14ac:dyDescent="0.3">
      <c r="A11" t="s">
        <v>170</v>
      </c>
      <c r="B11">
        <v>1</v>
      </c>
    </row>
    <row r="12" spans="1:7" x14ac:dyDescent="0.3">
      <c r="A12" t="s">
        <v>13</v>
      </c>
      <c r="B12">
        <v>2</v>
      </c>
      <c r="G12">
        <v>1</v>
      </c>
    </row>
    <row r="13" spans="1:7" x14ac:dyDescent="0.3">
      <c r="A13" t="s">
        <v>14</v>
      </c>
      <c r="F13">
        <v>1</v>
      </c>
    </row>
    <row r="14" spans="1:7" x14ac:dyDescent="0.3">
      <c r="A14" t="s">
        <v>171</v>
      </c>
      <c r="C14">
        <v>6</v>
      </c>
    </row>
    <row r="15" spans="1:7" x14ac:dyDescent="0.3">
      <c r="A15" t="s">
        <v>19</v>
      </c>
      <c r="B15">
        <v>2</v>
      </c>
    </row>
    <row r="16" spans="1:7" x14ac:dyDescent="0.3">
      <c r="A16" t="s">
        <v>175</v>
      </c>
      <c r="B16">
        <v>1</v>
      </c>
    </row>
    <row r="17" spans="1:6" x14ac:dyDescent="0.3">
      <c r="A17" t="s">
        <v>176</v>
      </c>
      <c r="B17">
        <v>2</v>
      </c>
    </row>
    <row r="18" spans="1:6" x14ac:dyDescent="0.3">
      <c r="A18" t="s">
        <v>23</v>
      </c>
      <c r="D18">
        <v>1</v>
      </c>
    </row>
    <row r="19" spans="1:6" x14ac:dyDescent="0.3">
      <c r="A19" t="s">
        <v>177</v>
      </c>
      <c r="B19">
        <v>1</v>
      </c>
    </row>
    <row r="20" spans="1:6" x14ac:dyDescent="0.3">
      <c r="A20" t="s">
        <v>29</v>
      </c>
      <c r="B20">
        <v>1</v>
      </c>
    </row>
    <row r="21" spans="1:6" x14ac:dyDescent="0.3">
      <c r="A21" t="s">
        <v>34</v>
      </c>
      <c r="B21">
        <v>1</v>
      </c>
    </row>
    <row r="22" spans="1:6" x14ac:dyDescent="0.3">
      <c r="A22" t="s">
        <v>35</v>
      </c>
      <c r="B22">
        <v>1</v>
      </c>
    </row>
    <row r="23" spans="1:6" x14ac:dyDescent="0.3">
      <c r="A23" t="s">
        <v>36</v>
      </c>
      <c r="D23">
        <v>1</v>
      </c>
    </row>
    <row r="24" spans="1:6" x14ac:dyDescent="0.3">
      <c r="A24" t="s">
        <v>199</v>
      </c>
      <c r="B24">
        <v>2</v>
      </c>
    </row>
    <row r="25" spans="1:6" x14ac:dyDescent="0.3">
      <c r="A25" t="s">
        <v>40</v>
      </c>
      <c r="B25">
        <v>1</v>
      </c>
      <c r="C25">
        <v>2</v>
      </c>
    </row>
    <row r="26" spans="1:6" x14ac:dyDescent="0.3">
      <c r="A26" t="s">
        <v>41</v>
      </c>
      <c r="B26">
        <v>2</v>
      </c>
      <c r="C26">
        <v>1</v>
      </c>
    </row>
    <row r="27" spans="1:6" x14ac:dyDescent="0.3">
      <c r="A27" t="s">
        <v>208</v>
      </c>
      <c r="B27">
        <v>1</v>
      </c>
    </row>
    <row r="28" spans="1:6" x14ac:dyDescent="0.3">
      <c r="A28" t="s">
        <v>49</v>
      </c>
      <c r="B28">
        <v>2</v>
      </c>
    </row>
    <row r="29" spans="1:6" x14ac:dyDescent="0.3">
      <c r="A29" t="s">
        <v>51</v>
      </c>
      <c r="B29">
        <v>2</v>
      </c>
      <c r="C29">
        <v>5</v>
      </c>
    </row>
    <row r="30" spans="1:6" x14ac:dyDescent="0.3">
      <c r="A30" t="s">
        <v>52</v>
      </c>
      <c r="B30">
        <v>1</v>
      </c>
    </row>
    <row r="31" spans="1:6" x14ac:dyDescent="0.3">
      <c r="A31" t="s">
        <v>55</v>
      </c>
      <c r="F31">
        <v>1</v>
      </c>
    </row>
    <row r="32" spans="1:6" x14ac:dyDescent="0.3">
      <c r="A32" t="s">
        <v>56</v>
      </c>
      <c r="F32">
        <v>2</v>
      </c>
    </row>
    <row r="33" spans="1:6" x14ac:dyDescent="0.3">
      <c r="A33" t="s">
        <v>57</v>
      </c>
      <c r="F33">
        <v>2</v>
      </c>
    </row>
    <row r="34" spans="1:6" x14ac:dyDescent="0.3">
      <c r="A34" t="s">
        <v>58</v>
      </c>
      <c r="B34">
        <v>1</v>
      </c>
    </row>
    <row r="35" spans="1:6" x14ac:dyDescent="0.3">
      <c r="A35" t="s">
        <v>211</v>
      </c>
      <c r="B35">
        <v>3</v>
      </c>
      <c r="E35">
        <v>1</v>
      </c>
    </row>
    <row r="36" spans="1:6" x14ac:dyDescent="0.3">
      <c r="A36" t="s">
        <v>66</v>
      </c>
      <c r="D36">
        <v>1</v>
      </c>
    </row>
    <row r="37" spans="1:6" x14ac:dyDescent="0.3">
      <c r="A37" t="s">
        <v>68</v>
      </c>
      <c r="D37">
        <v>1</v>
      </c>
    </row>
    <row r="38" spans="1:6" x14ac:dyDescent="0.3">
      <c r="A38" t="s">
        <v>71</v>
      </c>
      <c r="F38">
        <v>1</v>
      </c>
    </row>
    <row r="39" spans="1:6" x14ac:dyDescent="0.3">
      <c r="A39" t="s">
        <v>72</v>
      </c>
      <c r="D39">
        <v>2</v>
      </c>
    </row>
    <row r="40" spans="1:6" x14ac:dyDescent="0.3">
      <c r="A40" t="s">
        <v>221</v>
      </c>
      <c r="F40">
        <v>1</v>
      </c>
    </row>
    <row r="41" spans="1:6" x14ac:dyDescent="0.3">
      <c r="A41" t="s">
        <v>222</v>
      </c>
      <c r="B41">
        <v>2</v>
      </c>
    </row>
    <row r="42" spans="1:6" x14ac:dyDescent="0.3">
      <c r="A42" t="s">
        <v>76</v>
      </c>
      <c r="B42">
        <v>2</v>
      </c>
      <c r="C42">
        <v>3</v>
      </c>
    </row>
    <row r="43" spans="1:6" x14ac:dyDescent="0.3">
      <c r="A43" t="s">
        <v>223</v>
      </c>
      <c r="E43">
        <v>1</v>
      </c>
    </row>
    <row r="44" spans="1:6" x14ac:dyDescent="0.3">
      <c r="A44" t="s">
        <v>78</v>
      </c>
      <c r="D44">
        <v>1</v>
      </c>
    </row>
    <row r="45" spans="1:6" x14ac:dyDescent="0.3">
      <c r="A45" t="s">
        <v>79</v>
      </c>
      <c r="C45">
        <v>5</v>
      </c>
    </row>
    <row r="46" spans="1:6" x14ac:dyDescent="0.3">
      <c r="A46" t="s">
        <v>82</v>
      </c>
      <c r="B46">
        <v>1</v>
      </c>
      <c r="D46">
        <v>1</v>
      </c>
      <c r="E46">
        <v>2</v>
      </c>
    </row>
    <row r="47" spans="1:6" x14ac:dyDescent="0.3">
      <c r="A47" t="s">
        <v>83</v>
      </c>
      <c r="D47">
        <v>2</v>
      </c>
      <c r="F47">
        <v>2</v>
      </c>
    </row>
    <row r="48" spans="1:6" x14ac:dyDescent="0.3">
      <c r="A48" t="s">
        <v>84</v>
      </c>
      <c r="F48">
        <v>2</v>
      </c>
    </row>
    <row r="49" spans="1:7" x14ac:dyDescent="0.3">
      <c r="A49" t="s">
        <v>88</v>
      </c>
      <c r="D49">
        <v>2</v>
      </c>
    </row>
    <row r="50" spans="1:7" x14ac:dyDescent="0.3">
      <c r="A50" t="s">
        <v>89</v>
      </c>
      <c r="B50">
        <v>3</v>
      </c>
      <c r="C50">
        <v>9</v>
      </c>
    </row>
    <row r="51" spans="1:7" x14ac:dyDescent="0.3">
      <c r="A51" t="s">
        <v>91</v>
      </c>
      <c r="E51">
        <v>3</v>
      </c>
    </row>
    <row r="52" spans="1:7" x14ac:dyDescent="0.3">
      <c r="A52" t="s">
        <v>96</v>
      </c>
      <c r="D52">
        <v>2</v>
      </c>
    </row>
    <row r="53" spans="1:7" x14ac:dyDescent="0.3">
      <c r="A53" t="s">
        <v>97</v>
      </c>
    </row>
    <row r="54" spans="1:7" x14ac:dyDescent="0.3">
      <c r="A54" t="s">
        <v>99</v>
      </c>
      <c r="D54">
        <v>1</v>
      </c>
    </row>
    <row r="55" spans="1:7" x14ac:dyDescent="0.3">
      <c r="A55" t="s">
        <v>100</v>
      </c>
      <c r="B55">
        <v>2</v>
      </c>
      <c r="E55">
        <v>1</v>
      </c>
    </row>
    <row r="56" spans="1:7" x14ac:dyDescent="0.3">
      <c r="A56" t="s">
        <v>109</v>
      </c>
      <c r="C56">
        <v>7</v>
      </c>
    </row>
    <row r="57" spans="1:7" x14ac:dyDescent="0.3">
      <c r="A57" t="s">
        <v>114</v>
      </c>
      <c r="B57">
        <v>2</v>
      </c>
    </row>
    <row r="58" spans="1:7" x14ac:dyDescent="0.3">
      <c r="A58" t="s">
        <v>117</v>
      </c>
      <c r="E58">
        <v>1</v>
      </c>
    </row>
    <row r="59" spans="1:7" x14ac:dyDescent="0.3">
      <c r="A59" t="s">
        <v>119</v>
      </c>
      <c r="E59">
        <v>2</v>
      </c>
    </row>
    <row r="60" spans="1:7" x14ac:dyDescent="0.3">
      <c r="A60" t="s">
        <v>125</v>
      </c>
      <c r="C60">
        <v>6</v>
      </c>
    </row>
    <row r="61" spans="1:7" x14ac:dyDescent="0.3">
      <c r="A61" t="s">
        <v>126</v>
      </c>
      <c r="F61">
        <v>1</v>
      </c>
    </row>
    <row r="62" spans="1:7" x14ac:dyDescent="0.3">
      <c r="A62" t="s">
        <v>128</v>
      </c>
      <c r="G62">
        <v>1</v>
      </c>
    </row>
    <row r="63" spans="1:7" x14ac:dyDescent="0.3">
      <c r="A63" t="s">
        <v>135</v>
      </c>
      <c r="F63">
        <v>1</v>
      </c>
    </row>
    <row r="64" spans="1:7" x14ac:dyDescent="0.3">
      <c r="A64" t="s">
        <v>140</v>
      </c>
      <c r="F64">
        <v>3</v>
      </c>
    </row>
    <row r="65" spans="1:6" x14ac:dyDescent="0.3">
      <c r="A65" t="s">
        <v>143</v>
      </c>
      <c r="F65">
        <v>3</v>
      </c>
    </row>
    <row r="66" spans="1:6" x14ac:dyDescent="0.3">
      <c r="A66" t="s">
        <v>144</v>
      </c>
      <c r="B66">
        <v>2</v>
      </c>
      <c r="D66">
        <v>2</v>
      </c>
      <c r="E66">
        <v>4</v>
      </c>
      <c r="F66">
        <v>2</v>
      </c>
    </row>
    <row r="67" spans="1:6" x14ac:dyDescent="0.3">
      <c r="A67" t="s">
        <v>148</v>
      </c>
      <c r="D67">
        <v>1</v>
      </c>
    </row>
    <row r="68" spans="1:6" x14ac:dyDescent="0.3">
      <c r="A68" t="s">
        <v>152</v>
      </c>
      <c r="F68">
        <v>2</v>
      </c>
    </row>
    <row r="69" spans="1:6" x14ac:dyDescent="0.3">
      <c r="A69" t="s">
        <v>153</v>
      </c>
      <c r="B69">
        <v>1</v>
      </c>
      <c r="C69">
        <v>2</v>
      </c>
    </row>
    <row r="70" spans="1:6" x14ac:dyDescent="0.3">
      <c r="A70" t="s">
        <v>154</v>
      </c>
      <c r="D70">
        <v>2</v>
      </c>
    </row>
    <row r="71" spans="1:6" x14ac:dyDescent="0.3">
      <c r="A71" t="s">
        <v>156</v>
      </c>
      <c r="C71">
        <v>3</v>
      </c>
      <c r="D71">
        <v>1</v>
      </c>
    </row>
    <row r="72" spans="1:6" x14ac:dyDescent="0.3">
      <c r="A72" t="s">
        <v>159</v>
      </c>
      <c r="C72">
        <v>5</v>
      </c>
    </row>
    <row r="73" spans="1:6" x14ac:dyDescent="0.3">
      <c r="A73" s="3" t="s">
        <v>258</v>
      </c>
    </row>
  </sheetData>
  <hyperlinks>
    <hyperlink ref="A4" r:id="rId1" display="https://ebird.org/species/thitin1" xr:uid="{00000000-0004-0000-0300-000000000000}"/>
  </hyperlinks>
  <pageMargins left="0.7" right="0.7" top="0.75" bottom="0.75" header="0.3" footer="0.3"/>
  <pageSetup paperSize="9" orientation="portrait" horizontalDpi="4294967293" verticalDpi="4294967293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0"/>
  <sheetViews>
    <sheetView topLeftCell="A65" workbookViewId="0">
      <selection activeCell="F70" sqref="F70"/>
    </sheetView>
  </sheetViews>
  <sheetFormatPr defaultColWidth="11.5546875" defaultRowHeight="14.4" x14ac:dyDescent="0.3"/>
  <cols>
    <col min="1" max="1" width="23.109375" customWidth="1"/>
    <col min="2" max="4" width="15.77734375" customWidth="1"/>
    <col min="5" max="5" width="9" hidden="1" customWidth="1"/>
  </cols>
  <sheetData>
    <row r="1" spans="1:12" s="9" customFormat="1" ht="28.8" x14ac:dyDescent="0.3">
      <c r="A1" s="12" t="s">
        <v>0</v>
      </c>
      <c r="B1" s="9" t="s">
        <v>296</v>
      </c>
      <c r="C1" s="9" t="s">
        <v>297</v>
      </c>
      <c r="D1" s="9" t="s">
        <v>298</v>
      </c>
      <c r="E1" s="9" t="s">
        <v>236</v>
      </c>
      <c r="F1" s="9" t="s">
        <v>273</v>
      </c>
    </row>
    <row r="2" spans="1:12" x14ac:dyDescent="0.3">
      <c r="A2" t="s">
        <v>8</v>
      </c>
      <c r="E2">
        <v>1</v>
      </c>
      <c r="F2">
        <f t="shared" ref="F2:F33" si="0">SUM(B2:D2)</f>
        <v>0</v>
      </c>
      <c r="L2" t="s">
        <v>267</v>
      </c>
    </row>
    <row r="3" spans="1:12" x14ac:dyDescent="0.3">
      <c r="A3" t="s">
        <v>10</v>
      </c>
      <c r="E3">
        <v>1</v>
      </c>
      <c r="F3">
        <f t="shared" si="0"/>
        <v>0</v>
      </c>
    </row>
    <row r="4" spans="1:12" x14ac:dyDescent="0.3">
      <c r="A4" t="s">
        <v>11</v>
      </c>
      <c r="B4" s="4"/>
      <c r="C4" s="4"/>
      <c r="D4" s="4"/>
      <c r="E4">
        <v>1</v>
      </c>
      <c r="F4">
        <f t="shared" si="0"/>
        <v>0</v>
      </c>
    </row>
    <row r="5" spans="1:12" x14ac:dyDescent="0.3">
      <c r="A5" s="2" t="s">
        <v>15</v>
      </c>
      <c r="E5">
        <v>1</v>
      </c>
      <c r="F5">
        <f t="shared" si="0"/>
        <v>0</v>
      </c>
    </row>
    <row r="6" spans="1:12" x14ac:dyDescent="0.3">
      <c r="A6" t="s">
        <v>27</v>
      </c>
      <c r="E6">
        <v>1</v>
      </c>
      <c r="F6">
        <f t="shared" si="0"/>
        <v>0</v>
      </c>
    </row>
    <row r="7" spans="1:12" x14ac:dyDescent="0.3">
      <c r="A7" t="s">
        <v>46</v>
      </c>
      <c r="E7">
        <v>1</v>
      </c>
      <c r="F7">
        <f t="shared" si="0"/>
        <v>0</v>
      </c>
    </row>
    <row r="8" spans="1:12" x14ac:dyDescent="0.3">
      <c r="A8" t="s">
        <v>106</v>
      </c>
      <c r="E8">
        <v>1</v>
      </c>
      <c r="F8">
        <f t="shared" si="0"/>
        <v>0</v>
      </c>
    </row>
    <row r="9" spans="1:12" x14ac:dyDescent="0.3">
      <c r="A9" t="s">
        <v>237</v>
      </c>
      <c r="E9">
        <v>1</v>
      </c>
      <c r="F9">
        <f t="shared" si="0"/>
        <v>0</v>
      </c>
    </row>
    <row r="10" spans="1:12" x14ac:dyDescent="0.3">
      <c r="A10" t="s">
        <v>148</v>
      </c>
      <c r="E10">
        <v>1</v>
      </c>
      <c r="F10">
        <f t="shared" si="0"/>
        <v>0</v>
      </c>
    </row>
    <row r="11" spans="1:12" x14ac:dyDescent="0.3">
      <c r="A11" s="2" t="s">
        <v>4</v>
      </c>
      <c r="C11">
        <v>1</v>
      </c>
      <c r="F11">
        <f t="shared" si="0"/>
        <v>1</v>
      </c>
    </row>
    <row r="12" spans="1:12" x14ac:dyDescent="0.3">
      <c r="A12" t="s">
        <v>13</v>
      </c>
      <c r="C12">
        <v>1</v>
      </c>
      <c r="E12">
        <v>1</v>
      </c>
      <c r="F12">
        <f t="shared" si="0"/>
        <v>1</v>
      </c>
    </row>
    <row r="13" spans="1:12" x14ac:dyDescent="0.3">
      <c r="A13" t="s">
        <v>17</v>
      </c>
      <c r="C13">
        <v>1</v>
      </c>
      <c r="F13">
        <f t="shared" si="0"/>
        <v>1</v>
      </c>
    </row>
    <row r="14" spans="1:12" x14ac:dyDescent="0.3">
      <c r="A14" t="s">
        <v>175</v>
      </c>
      <c r="D14">
        <v>1</v>
      </c>
      <c r="F14">
        <f t="shared" si="0"/>
        <v>1</v>
      </c>
    </row>
    <row r="15" spans="1:12" x14ac:dyDescent="0.3">
      <c r="A15" s="2" t="s">
        <v>22</v>
      </c>
      <c r="C15">
        <v>1</v>
      </c>
      <c r="F15">
        <f t="shared" si="0"/>
        <v>1</v>
      </c>
    </row>
    <row r="16" spans="1:12" x14ac:dyDescent="0.3">
      <c r="A16" t="s">
        <v>178</v>
      </c>
      <c r="D16">
        <v>1</v>
      </c>
      <c r="F16">
        <f t="shared" si="0"/>
        <v>1</v>
      </c>
    </row>
    <row r="17" spans="1:6" x14ac:dyDescent="0.3">
      <c r="A17" s="2" t="s">
        <v>25</v>
      </c>
      <c r="C17">
        <v>1</v>
      </c>
      <c r="F17">
        <f t="shared" si="0"/>
        <v>1</v>
      </c>
    </row>
    <row r="18" spans="1:6" x14ac:dyDescent="0.3">
      <c r="A18" t="s">
        <v>26</v>
      </c>
      <c r="B18">
        <v>1</v>
      </c>
      <c r="F18">
        <f t="shared" si="0"/>
        <v>1</v>
      </c>
    </row>
    <row r="19" spans="1:6" x14ac:dyDescent="0.3">
      <c r="A19" t="s">
        <v>183</v>
      </c>
      <c r="C19">
        <v>1</v>
      </c>
      <c r="E19">
        <v>1</v>
      </c>
      <c r="F19">
        <f t="shared" si="0"/>
        <v>1</v>
      </c>
    </row>
    <row r="20" spans="1:6" x14ac:dyDescent="0.3">
      <c r="A20" t="s">
        <v>187</v>
      </c>
      <c r="C20">
        <v>1</v>
      </c>
      <c r="F20">
        <f t="shared" si="0"/>
        <v>1</v>
      </c>
    </row>
    <row r="21" spans="1:6" x14ac:dyDescent="0.3">
      <c r="A21" s="2" t="s">
        <v>188</v>
      </c>
      <c r="C21">
        <v>1</v>
      </c>
      <c r="F21">
        <f t="shared" si="0"/>
        <v>1</v>
      </c>
    </row>
    <row r="22" spans="1:6" x14ac:dyDescent="0.3">
      <c r="A22" t="s">
        <v>194</v>
      </c>
      <c r="D22">
        <v>1</v>
      </c>
      <c r="F22">
        <f t="shared" si="0"/>
        <v>1</v>
      </c>
    </row>
    <row r="23" spans="1:6" x14ac:dyDescent="0.3">
      <c r="A23" t="s">
        <v>31</v>
      </c>
      <c r="C23">
        <v>1</v>
      </c>
      <c r="F23">
        <f t="shared" si="0"/>
        <v>1</v>
      </c>
    </row>
    <row r="24" spans="1:6" x14ac:dyDescent="0.3">
      <c r="A24" t="s">
        <v>196</v>
      </c>
      <c r="D24">
        <v>1</v>
      </c>
      <c r="F24">
        <f t="shared" si="0"/>
        <v>1</v>
      </c>
    </row>
    <row r="25" spans="1:6" x14ac:dyDescent="0.3">
      <c r="A25" t="s">
        <v>34</v>
      </c>
      <c r="C25">
        <v>1</v>
      </c>
      <c r="F25">
        <f t="shared" si="0"/>
        <v>1</v>
      </c>
    </row>
    <row r="26" spans="1:6" x14ac:dyDescent="0.3">
      <c r="A26" t="s">
        <v>201</v>
      </c>
      <c r="C26">
        <v>1</v>
      </c>
      <c r="F26">
        <f t="shared" si="0"/>
        <v>1</v>
      </c>
    </row>
    <row r="27" spans="1:6" x14ac:dyDescent="0.3">
      <c r="A27" t="s">
        <v>202</v>
      </c>
      <c r="C27">
        <v>1</v>
      </c>
      <c r="F27">
        <f t="shared" si="0"/>
        <v>1</v>
      </c>
    </row>
    <row r="28" spans="1:6" x14ac:dyDescent="0.3">
      <c r="A28" t="s">
        <v>203</v>
      </c>
      <c r="C28">
        <v>1</v>
      </c>
      <c r="F28">
        <f t="shared" si="0"/>
        <v>1</v>
      </c>
    </row>
    <row r="29" spans="1:6" x14ac:dyDescent="0.3">
      <c r="A29" t="s">
        <v>59</v>
      </c>
      <c r="C29">
        <v>1</v>
      </c>
      <c r="F29">
        <f t="shared" si="0"/>
        <v>1</v>
      </c>
    </row>
    <row r="30" spans="1:6" x14ac:dyDescent="0.3">
      <c r="A30" t="s">
        <v>212</v>
      </c>
      <c r="B30">
        <v>1</v>
      </c>
      <c r="F30">
        <f t="shared" si="0"/>
        <v>1</v>
      </c>
    </row>
    <row r="31" spans="1:6" x14ac:dyDescent="0.3">
      <c r="A31" t="s">
        <v>214</v>
      </c>
      <c r="C31">
        <v>1</v>
      </c>
      <c r="F31">
        <f t="shared" si="0"/>
        <v>1</v>
      </c>
    </row>
    <row r="32" spans="1:6" x14ac:dyDescent="0.3">
      <c r="A32" t="s">
        <v>215</v>
      </c>
      <c r="B32">
        <v>1</v>
      </c>
      <c r="F32">
        <f t="shared" si="0"/>
        <v>1</v>
      </c>
    </row>
    <row r="33" spans="1:6" x14ac:dyDescent="0.3">
      <c r="A33" t="s">
        <v>63</v>
      </c>
      <c r="B33">
        <v>1</v>
      </c>
      <c r="F33">
        <f t="shared" si="0"/>
        <v>1</v>
      </c>
    </row>
    <row r="34" spans="1:6" x14ac:dyDescent="0.3">
      <c r="A34" t="s">
        <v>68</v>
      </c>
      <c r="C34">
        <v>1</v>
      </c>
      <c r="F34">
        <f t="shared" ref="F34:F65" si="1">SUM(B34:D34)</f>
        <v>1</v>
      </c>
    </row>
    <row r="35" spans="1:6" x14ac:dyDescent="0.3">
      <c r="A35" t="s">
        <v>220</v>
      </c>
      <c r="B35">
        <v>1</v>
      </c>
      <c r="F35">
        <f t="shared" si="1"/>
        <v>1</v>
      </c>
    </row>
    <row r="36" spans="1:6" x14ac:dyDescent="0.3">
      <c r="A36" t="s">
        <v>71</v>
      </c>
      <c r="B36">
        <v>1</v>
      </c>
      <c r="F36">
        <f t="shared" si="1"/>
        <v>1</v>
      </c>
    </row>
    <row r="37" spans="1:6" x14ac:dyDescent="0.3">
      <c r="A37" t="s">
        <v>222</v>
      </c>
      <c r="C37">
        <v>1</v>
      </c>
      <c r="F37">
        <f t="shared" si="1"/>
        <v>1</v>
      </c>
    </row>
    <row r="38" spans="1:6" x14ac:dyDescent="0.3">
      <c r="A38" t="s">
        <v>85</v>
      </c>
      <c r="B38">
        <v>1</v>
      </c>
      <c r="F38">
        <f t="shared" si="1"/>
        <v>1</v>
      </c>
    </row>
    <row r="39" spans="1:6" x14ac:dyDescent="0.3">
      <c r="A39" t="s">
        <v>87</v>
      </c>
      <c r="C39">
        <v>1</v>
      </c>
      <c r="F39">
        <f t="shared" si="1"/>
        <v>1</v>
      </c>
    </row>
    <row r="40" spans="1:6" x14ac:dyDescent="0.3">
      <c r="A40" t="s">
        <v>96</v>
      </c>
      <c r="C40">
        <v>1</v>
      </c>
      <c r="F40">
        <f t="shared" si="1"/>
        <v>1</v>
      </c>
    </row>
    <row r="41" spans="1:6" x14ac:dyDescent="0.3">
      <c r="A41" t="s">
        <v>127</v>
      </c>
      <c r="C41">
        <v>1</v>
      </c>
      <c r="F41">
        <f t="shared" si="1"/>
        <v>1</v>
      </c>
    </row>
    <row r="42" spans="1:6" x14ac:dyDescent="0.3">
      <c r="A42" t="s">
        <v>171</v>
      </c>
      <c r="D42">
        <v>2</v>
      </c>
      <c r="F42">
        <f t="shared" si="1"/>
        <v>2</v>
      </c>
    </row>
    <row r="43" spans="1:6" x14ac:dyDescent="0.3">
      <c r="A43" t="s">
        <v>21</v>
      </c>
      <c r="D43">
        <v>2</v>
      </c>
      <c r="F43">
        <f t="shared" si="1"/>
        <v>2</v>
      </c>
    </row>
    <row r="44" spans="1:6" x14ac:dyDescent="0.3">
      <c r="A44" s="2" t="s">
        <v>190</v>
      </c>
      <c r="C44">
        <v>2</v>
      </c>
      <c r="E44">
        <v>1</v>
      </c>
      <c r="F44">
        <f t="shared" si="1"/>
        <v>2</v>
      </c>
    </row>
    <row r="45" spans="1:6" x14ac:dyDescent="0.3">
      <c r="A45" t="s">
        <v>191</v>
      </c>
      <c r="B45">
        <v>1</v>
      </c>
      <c r="D45">
        <v>1</v>
      </c>
      <c r="F45">
        <f t="shared" si="1"/>
        <v>2</v>
      </c>
    </row>
    <row r="46" spans="1:6" x14ac:dyDescent="0.3">
      <c r="A46" t="s">
        <v>32</v>
      </c>
      <c r="C46">
        <v>1</v>
      </c>
      <c r="D46">
        <v>1</v>
      </c>
      <c r="E46">
        <v>1</v>
      </c>
      <c r="F46">
        <f t="shared" si="1"/>
        <v>2</v>
      </c>
    </row>
    <row r="47" spans="1:6" x14ac:dyDescent="0.3">
      <c r="A47" t="s">
        <v>33</v>
      </c>
      <c r="D47">
        <v>2</v>
      </c>
      <c r="F47">
        <f t="shared" si="1"/>
        <v>2</v>
      </c>
    </row>
    <row r="48" spans="1:6" x14ac:dyDescent="0.3">
      <c r="A48" t="s">
        <v>40</v>
      </c>
      <c r="C48">
        <v>2</v>
      </c>
      <c r="F48">
        <f t="shared" si="1"/>
        <v>2</v>
      </c>
    </row>
    <row r="49" spans="1:6" x14ac:dyDescent="0.3">
      <c r="A49" t="s">
        <v>205</v>
      </c>
      <c r="C49">
        <v>2</v>
      </c>
      <c r="F49">
        <f t="shared" si="1"/>
        <v>2</v>
      </c>
    </row>
    <row r="50" spans="1:6" x14ac:dyDescent="0.3">
      <c r="A50" t="s">
        <v>41</v>
      </c>
      <c r="C50">
        <v>2</v>
      </c>
      <c r="F50">
        <f t="shared" si="1"/>
        <v>2</v>
      </c>
    </row>
    <row r="51" spans="1:6" x14ac:dyDescent="0.3">
      <c r="A51" t="s">
        <v>207</v>
      </c>
      <c r="C51">
        <v>2</v>
      </c>
      <c r="F51">
        <f t="shared" si="1"/>
        <v>2</v>
      </c>
    </row>
    <row r="52" spans="1:6" x14ac:dyDescent="0.3">
      <c r="A52" t="s">
        <v>52</v>
      </c>
      <c r="C52">
        <v>2</v>
      </c>
      <c r="F52">
        <f t="shared" si="1"/>
        <v>2</v>
      </c>
    </row>
    <row r="53" spans="1:6" x14ac:dyDescent="0.3">
      <c r="A53" t="s">
        <v>66</v>
      </c>
      <c r="C53">
        <v>2</v>
      </c>
      <c r="F53">
        <f t="shared" si="1"/>
        <v>2</v>
      </c>
    </row>
    <row r="54" spans="1:6" x14ac:dyDescent="0.3">
      <c r="A54" t="s">
        <v>72</v>
      </c>
      <c r="C54">
        <v>2</v>
      </c>
      <c r="F54">
        <f t="shared" si="1"/>
        <v>2</v>
      </c>
    </row>
    <row r="55" spans="1:6" x14ac:dyDescent="0.3">
      <c r="A55" t="s">
        <v>221</v>
      </c>
      <c r="B55">
        <v>1</v>
      </c>
      <c r="C55">
        <v>1</v>
      </c>
      <c r="F55">
        <f t="shared" si="1"/>
        <v>2</v>
      </c>
    </row>
    <row r="56" spans="1:6" x14ac:dyDescent="0.3">
      <c r="A56" t="s">
        <v>83</v>
      </c>
      <c r="B56">
        <v>2</v>
      </c>
      <c r="F56">
        <f t="shared" si="1"/>
        <v>2</v>
      </c>
    </row>
    <row r="57" spans="1:6" x14ac:dyDescent="0.3">
      <c r="A57" t="s">
        <v>99</v>
      </c>
      <c r="C57">
        <v>2</v>
      </c>
      <c r="E57">
        <v>1</v>
      </c>
      <c r="F57">
        <f t="shared" si="1"/>
        <v>2</v>
      </c>
    </row>
    <row r="58" spans="1:6" x14ac:dyDescent="0.3">
      <c r="A58" t="s">
        <v>107</v>
      </c>
      <c r="C58">
        <v>2</v>
      </c>
      <c r="E58">
        <v>1</v>
      </c>
      <c r="F58">
        <f t="shared" si="1"/>
        <v>2</v>
      </c>
    </row>
    <row r="59" spans="1:6" x14ac:dyDescent="0.3">
      <c r="A59" t="s">
        <v>108</v>
      </c>
      <c r="D59">
        <v>2</v>
      </c>
      <c r="F59">
        <f t="shared" si="1"/>
        <v>2</v>
      </c>
    </row>
    <row r="60" spans="1:6" x14ac:dyDescent="0.3">
      <c r="A60" t="s">
        <v>112</v>
      </c>
      <c r="C60">
        <v>2</v>
      </c>
      <c r="E60">
        <v>1</v>
      </c>
      <c r="F60">
        <f t="shared" si="1"/>
        <v>2</v>
      </c>
    </row>
    <row r="61" spans="1:6" x14ac:dyDescent="0.3">
      <c r="A61" t="s">
        <v>133</v>
      </c>
      <c r="C61">
        <v>2</v>
      </c>
      <c r="F61">
        <f t="shared" si="1"/>
        <v>2</v>
      </c>
    </row>
    <row r="62" spans="1:6" x14ac:dyDescent="0.3">
      <c r="A62" t="s">
        <v>135</v>
      </c>
      <c r="C62">
        <v>2</v>
      </c>
      <c r="F62">
        <f t="shared" si="1"/>
        <v>2</v>
      </c>
    </row>
    <row r="63" spans="1:6" x14ac:dyDescent="0.3">
      <c r="A63" t="s">
        <v>144</v>
      </c>
      <c r="C63">
        <v>2</v>
      </c>
      <c r="F63">
        <f t="shared" si="1"/>
        <v>2</v>
      </c>
    </row>
    <row r="64" spans="1:6" x14ac:dyDescent="0.3">
      <c r="A64" t="s">
        <v>145</v>
      </c>
      <c r="D64">
        <v>2</v>
      </c>
      <c r="F64">
        <f t="shared" si="1"/>
        <v>2</v>
      </c>
    </row>
    <row r="65" spans="1:6" x14ac:dyDescent="0.3">
      <c r="A65" t="s">
        <v>154</v>
      </c>
      <c r="C65">
        <v>2</v>
      </c>
      <c r="F65">
        <f t="shared" si="1"/>
        <v>2</v>
      </c>
    </row>
    <row r="66" spans="1:6" x14ac:dyDescent="0.3">
      <c r="A66" t="s">
        <v>156</v>
      </c>
      <c r="D66">
        <v>2</v>
      </c>
      <c r="E66">
        <v>1</v>
      </c>
      <c r="F66">
        <f t="shared" ref="F66:F79" si="2">SUM(B66:D66)</f>
        <v>2</v>
      </c>
    </row>
    <row r="67" spans="1:6" x14ac:dyDescent="0.3">
      <c r="A67" t="s">
        <v>19</v>
      </c>
      <c r="D67">
        <v>3</v>
      </c>
      <c r="F67">
        <f t="shared" si="2"/>
        <v>3</v>
      </c>
    </row>
    <row r="68" spans="1:6" x14ac:dyDescent="0.3">
      <c r="A68" t="s">
        <v>217</v>
      </c>
      <c r="C68">
        <v>3</v>
      </c>
      <c r="F68">
        <f t="shared" si="2"/>
        <v>3</v>
      </c>
    </row>
    <row r="69" spans="1:6" x14ac:dyDescent="0.3">
      <c r="A69" t="s">
        <v>67</v>
      </c>
      <c r="B69">
        <v>1</v>
      </c>
      <c r="C69">
        <v>2</v>
      </c>
      <c r="F69">
        <f t="shared" si="2"/>
        <v>3</v>
      </c>
    </row>
    <row r="70" spans="1:6" x14ac:dyDescent="0.3">
      <c r="A70" t="s">
        <v>89</v>
      </c>
      <c r="C70">
        <v>4</v>
      </c>
      <c r="E70">
        <v>1</v>
      </c>
      <c r="F70">
        <f t="shared" si="2"/>
        <v>4</v>
      </c>
    </row>
    <row r="71" spans="1:6" x14ac:dyDescent="0.3">
      <c r="A71" t="s">
        <v>6</v>
      </c>
      <c r="D71">
        <v>5</v>
      </c>
      <c r="E71">
        <v>1</v>
      </c>
      <c r="F71">
        <f t="shared" si="2"/>
        <v>5</v>
      </c>
    </row>
    <row r="72" spans="1:6" x14ac:dyDescent="0.3">
      <c r="A72" t="s">
        <v>36</v>
      </c>
      <c r="C72">
        <v>5</v>
      </c>
      <c r="F72">
        <f t="shared" si="2"/>
        <v>5</v>
      </c>
    </row>
    <row r="73" spans="1:6" x14ac:dyDescent="0.3">
      <c r="A73" t="s">
        <v>100</v>
      </c>
      <c r="B73">
        <v>1</v>
      </c>
      <c r="C73">
        <v>4</v>
      </c>
      <c r="F73">
        <f t="shared" si="2"/>
        <v>5</v>
      </c>
    </row>
    <row r="74" spans="1:6" x14ac:dyDescent="0.3">
      <c r="A74" t="s">
        <v>84</v>
      </c>
      <c r="B74">
        <v>3</v>
      </c>
      <c r="C74">
        <v>3</v>
      </c>
      <c r="F74">
        <f t="shared" si="2"/>
        <v>6</v>
      </c>
    </row>
    <row r="75" spans="1:6" x14ac:dyDescent="0.3">
      <c r="A75" t="s">
        <v>109</v>
      </c>
      <c r="B75">
        <v>2</v>
      </c>
      <c r="D75">
        <v>4</v>
      </c>
      <c r="F75">
        <f t="shared" si="2"/>
        <v>6</v>
      </c>
    </row>
    <row r="76" spans="1:6" x14ac:dyDescent="0.3">
      <c r="A76" t="s">
        <v>51</v>
      </c>
      <c r="C76">
        <v>7</v>
      </c>
      <c r="F76">
        <f t="shared" si="2"/>
        <v>7</v>
      </c>
    </row>
    <row r="77" spans="1:6" x14ac:dyDescent="0.3">
      <c r="A77" t="s">
        <v>88</v>
      </c>
      <c r="B77">
        <v>5</v>
      </c>
      <c r="C77">
        <v>2</v>
      </c>
      <c r="F77">
        <f t="shared" si="2"/>
        <v>7</v>
      </c>
    </row>
    <row r="78" spans="1:6" x14ac:dyDescent="0.3">
      <c r="A78" s="2" t="s">
        <v>172</v>
      </c>
      <c r="D78">
        <v>8</v>
      </c>
      <c r="F78">
        <f t="shared" si="2"/>
        <v>8</v>
      </c>
    </row>
    <row r="79" spans="1:6" x14ac:dyDescent="0.3">
      <c r="A79" t="s">
        <v>20</v>
      </c>
      <c r="D79">
        <v>8</v>
      </c>
      <c r="F79">
        <f t="shared" si="2"/>
        <v>8</v>
      </c>
    </row>
    <row r="80" spans="1:6" x14ac:dyDescent="0.3">
      <c r="A80" s="3" t="s">
        <v>259</v>
      </c>
      <c r="F80">
        <f>COUNTIF(F2:F79, "&gt;0")</f>
        <v>69</v>
      </c>
    </row>
  </sheetData>
  <sortState xmlns:xlrd2="http://schemas.microsoft.com/office/spreadsheetml/2017/richdata2" ref="A2:F80">
    <sortCondition ref="F2:F80"/>
  </sortState>
  <hyperlinks>
    <hyperlink ref="A11" r:id="rId1" display="https://ebird.org/species/thitin1" xr:uid="{00000000-0004-0000-0400-000000000000}"/>
    <hyperlink ref="A5" r:id="rId2" display="https://ebird.org/species/gyhdov1" xr:uid="{00000000-0004-0000-0400-000001000000}"/>
    <hyperlink ref="A78" r:id="rId3" display="https://ebird.org/species/grbani" xr:uid="{00000000-0004-0000-0400-000002000000}"/>
    <hyperlink ref="A15" r:id="rId4" display="https://ebird.org/species/rthhum" xr:uid="{00000000-0004-0000-0400-000003000000}"/>
    <hyperlink ref="A17" r:id="rId5" display="https://ebird.org/species/rtlhum" xr:uid="{00000000-0004-0000-0400-000004000000}"/>
    <hyperlink ref="A21" r:id="rId6" display="https://ebird.org/species/bcnher" xr:uid="{00000000-0004-0000-0400-000005000000}"/>
  </hyperlinks>
  <pageMargins left="0.7" right="0.7" top="0.75" bottom="0.75" header="0.3" footer="0.3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0"/>
  <sheetViews>
    <sheetView topLeftCell="D1" zoomScaleNormal="100" workbookViewId="0">
      <pane ySplit="1" topLeftCell="A64" activePane="bottomLeft" state="frozen"/>
      <selection pane="bottomLeft" activeCell="H75" sqref="H75"/>
    </sheetView>
  </sheetViews>
  <sheetFormatPr defaultColWidth="11.5546875" defaultRowHeight="14.4" x14ac:dyDescent="0.3"/>
  <cols>
    <col min="1" max="1" width="24.5546875" bestFit="1" customWidth="1"/>
    <col min="2" max="5" width="19.88671875" bestFit="1" customWidth="1"/>
    <col min="6" max="6" width="24.88671875" bestFit="1" customWidth="1"/>
    <col min="7" max="7" width="10" hidden="1" customWidth="1"/>
  </cols>
  <sheetData>
    <row r="1" spans="1:9" ht="43.2" x14ac:dyDescent="0.3">
      <c r="A1" s="1" t="s">
        <v>275</v>
      </c>
      <c r="B1" s="9" t="s">
        <v>276</v>
      </c>
      <c r="C1" s="9" t="s">
        <v>277</v>
      </c>
      <c r="D1" s="9" t="s">
        <v>278</v>
      </c>
      <c r="E1" s="9" t="s">
        <v>279</v>
      </c>
      <c r="F1" s="9" t="s">
        <v>280</v>
      </c>
      <c r="G1" s="9" t="s">
        <v>238</v>
      </c>
      <c r="H1" s="6" t="s">
        <v>270</v>
      </c>
      <c r="I1" s="6" t="s">
        <v>271</v>
      </c>
    </row>
    <row r="2" spans="1:9" x14ac:dyDescent="0.3">
      <c r="A2" t="s">
        <v>28</v>
      </c>
      <c r="G2">
        <v>1</v>
      </c>
      <c r="H2">
        <f t="shared" ref="H2:H33" si="0">SUM(B2,D2)</f>
        <v>0</v>
      </c>
      <c r="I2">
        <f t="shared" ref="I2:I33" si="1">SUM(C2,E2,F2)</f>
        <v>0</v>
      </c>
    </row>
    <row r="3" spans="1:9" x14ac:dyDescent="0.3">
      <c r="A3" t="s">
        <v>32</v>
      </c>
      <c r="G3">
        <v>1</v>
      </c>
      <c r="H3">
        <f t="shared" si="0"/>
        <v>0</v>
      </c>
      <c r="I3">
        <f t="shared" si="1"/>
        <v>0</v>
      </c>
    </row>
    <row r="4" spans="1:9" x14ac:dyDescent="0.3">
      <c r="A4" t="s">
        <v>76</v>
      </c>
      <c r="B4" s="4"/>
      <c r="C4" s="4"/>
      <c r="D4" s="4"/>
      <c r="E4" s="4"/>
      <c r="F4" s="4"/>
      <c r="G4" s="4">
        <v>1</v>
      </c>
      <c r="H4" s="5">
        <f t="shared" si="0"/>
        <v>0</v>
      </c>
      <c r="I4" s="5">
        <f t="shared" si="1"/>
        <v>0</v>
      </c>
    </row>
    <row r="5" spans="1:9" x14ac:dyDescent="0.3">
      <c r="A5" t="s">
        <v>11</v>
      </c>
      <c r="B5">
        <v>1</v>
      </c>
      <c r="H5">
        <f t="shared" si="0"/>
        <v>1</v>
      </c>
      <c r="I5">
        <f t="shared" si="1"/>
        <v>0</v>
      </c>
    </row>
    <row r="6" spans="1:9" x14ac:dyDescent="0.3">
      <c r="A6" s="2" t="s">
        <v>15</v>
      </c>
      <c r="D6">
        <v>1</v>
      </c>
      <c r="H6">
        <f t="shared" si="0"/>
        <v>1</v>
      </c>
      <c r="I6">
        <f t="shared" si="1"/>
        <v>0</v>
      </c>
    </row>
    <row r="7" spans="1:9" x14ac:dyDescent="0.3">
      <c r="A7" t="s">
        <v>179</v>
      </c>
      <c r="B7">
        <v>1</v>
      </c>
      <c r="H7">
        <f t="shared" si="0"/>
        <v>1</v>
      </c>
      <c r="I7">
        <f t="shared" si="1"/>
        <v>0</v>
      </c>
    </row>
    <row r="8" spans="1:9" x14ac:dyDescent="0.3">
      <c r="A8" t="s">
        <v>182</v>
      </c>
      <c r="B8">
        <v>1</v>
      </c>
      <c r="H8">
        <f t="shared" si="0"/>
        <v>1</v>
      </c>
      <c r="I8">
        <f t="shared" si="1"/>
        <v>0</v>
      </c>
    </row>
    <row r="9" spans="1:9" x14ac:dyDescent="0.3">
      <c r="A9" t="s">
        <v>36</v>
      </c>
      <c r="B9">
        <v>1</v>
      </c>
      <c r="H9">
        <f t="shared" si="0"/>
        <v>1</v>
      </c>
      <c r="I9">
        <f t="shared" si="1"/>
        <v>0</v>
      </c>
    </row>
    <row r="10" spans="1:9" x14ac:dyDescent="0.3">
      <c r="A10" t="s">
        <v>58</v>
      </c>
      <c r="B10">
        <v>1</v>
      </c>
      <c r="H10">
        <f t="shared" si="0"/>
        <v>1</v>
      </c>
      <c r="I10">
        <f t="shared" si="1"/>
        <v>0</v>
      </c>
    </row>
    <row r="11" spans="1:9" x14ac:dyDescent="0.3">
      <c r="A11" t="s">
        <v>63</v>
      </c>
      <c r="B11">
        <v>1</v>
      </c>
      <c r="H11">
        <f t="shared" si="0"/>
        <v>1</v>
      </c>
      <c r="I11">
        <f t="shared" si="1"/>
        <v>0</v>
      </c>
    </row>
    <row r="12" spans="1:9" x14ac:dyDescent="0.3">
      <c r="A12" t="s">
        <v>70</v>
      </c>
      <c r="D12">
        <v>1</v>
      </c>
      <c r="H12">
        <f t="shared" si="0"/>
        <v>1</v>
      </c>
      <c r="I12">
        <f t="shared" si="1"/>
        <v>0</v>
      </c>
    </row>
    <row r="13" spans="1:9" x14ac:dyDescent="0.3">
      <c r="A13" t="s">
        <v>126</v>
      </c>
      <c r="B13">
        <v>1</v>
      </c>
      <c r="H13">
        <f t="shared" si="0"/>
        <v>1</v>
      </c>
      <c r="I13">
        <f t="shared" si="1"/>
        <v>0</v>
      </c>
    </row>
    <row r="14" spans="1:9" x14ac:dyDescent="0.3">
      <c r="A14" t="s">
        <v>131</v>
      </c>
      <c r="B14">
        <v>1</v>
      </c>
      <c r="H14">
        <f t="shared" si="0"/>
        <v>1</v>
      </c>
      <c r="I14">
        <f t="shared" si="1"/>
        <v>0</v>
      </c>
    </row>
    <row r="15" spans="1:9" x14ac:dyDescent="0.3">
      <c r="A15" t="s">
        <v>132</v>
      </c>
      <c r="B15">
        <v>1</v>
      </c>
      <c r="H15">
        <f t="shared" si="0"/>
        <v>1</v>
      </c>
      <c r="I15">
        <f t="shared" si="1"/>
        <v>0</v>
      </c>
    </row>
    <row r="16" spans="1:9" x14ac:dyDescent="0.3">
      <c r="A16" t="s">
        <v>138</v>
      </c>
      <c r="B16">
        <v>1</v>
      </c>
      <c r="H16">
        <f t="shared" si="0"/>
        <v>1</v>
      </c>
      <c r="I16">
        <f t="shared" si="1"/>
        <v>0</v>
      </c>
    </row>
    <row r="17" spans="1:9" x14ac:dyDescent="0.3">
      <c r="A17" t="s">
        <v>158</v>
      </c>
      <c r="B17">
        <v>1</v>
      </c>
      <c r="H17">
        <f t="shared" si="0"/>
        <v>1</v>
      </c>
      <c r="I17">
        <f t="shared" si="1"/>
        <v>0</v>
      </c>
    </row>
    <row r="18" spans="1:9" x14ac:dyDescent="0.3">
      <c r="A18" t="s">
        <v>164</v>
      </c>
      <c r="D18">
        <v>2</v>
      </c>
      <c r="H18">
        <f t="shared" si="0"/>
        <v>2</v>
      </c>
      <c r="I18">
        <f t="shared" si="1"/>
        <v>0</v>
      </c>
    </row>
    <row r="19" spans="1:9" x14ac:dyDescent="0.3">
      <c r="A19" t="s">
        <v>169</v>
      </c>
      <c r="D19">
        <v>2</v>
      </c>
      <c r="H19">
        <f t="shared" si="0"/>
        <v>2</v>
      </c>
      <c r="I19">
        <f t="shared" si="1"/>
        <v>0</v>
      </c>
    </row>
    <row r="20" spans="1:9" x14ac:dyDescent="0.3">
      <c r="A20" t="s">
        <v>171</v>
      </c>
      <c r="B20">
        <v>2</v>
      </c>
      <c r="H20">
        <f t="shared" si="0"/>
        <v>2</v>
      </c>
      <c r="I20">
        <f t="shared" si="1"/>
        <v>0</v>
      </c>
    </row>
    <row r="21" spans="1:9" x14ac:dyDescent="0.3">
      <c r="A21" s="2" t="s">
        <v>188</v>
      </c>
      <c r="B21">
        <v>2</v>
      </c>
      <c r="H21">
        <f t="shared" si="0"/>
        <v>2</v>
      </c>
      <c r="I21">
        <f t="shared" si="1"/>
        <v>0</v>
      </c>
    </row>
    <row r="22" spans="1:9" x14ac:dyDescent="0.3">
      <c r="A22" t="s">
        <v>200</v>
      </c>
      <c r="D22">
        <v>2</v>
      </c>
      <c r="H22">
        <f t="shared" si="0"/>
        <v>2</v>
      </c>
      <c r="I22">
        <f t="shared" si="1"/>
        <v>0</v>
      </c>
    </row>
    <row r="23" spans="1:9" x14ac:dyDescent="0.3">
      <c r="A23" t="s">
        <v>218</v>
      </c>
      <c r="D23">
        <v>2</v>
      </c>
      <c r="H23">
        <f t="shared" si="0"/>
        <v>2</v>
      </c>
      <c r="I23">
        <f t="shared" si="1"/>
        <v>0</v>
      </c>
    </row>
    <row r="24" spans="1:9" x14ac:dyDescent="0.3">
      <c r="A24" t="s">
        <v>81</v>
      </c>
      <c r="D24">
        <v>2</v>
      </c>
      <c r="H24">
        <f t="shared" si="0"/>
        <v>2</v>
      </c>
      <c r="I24">
        <f t="shared" si="1"/>
        <v>0</v>
      </c>
    </row>
    <row r="25" spans="1:9" x14ac:dyDescent="0.3">
      <c r="A25" t="s">
        <v>122</v>
      </c>
      <c r="B25">
        <v>2</v>
      </c>
      <c r="H25">
        <f t="shared" si="0"/>
        <v>2</v>
      </c>
      <c r="I25">
        <f t="shared" si="1"/>
        <v>0</v>
      </c>
    </row>
    <row r="26" spans="1:9" x14ac:dyDescent="0.3">
      <c r="A26" t="s">
        <v>144</v>
      </c>
      <c r="B26">
        <v>2</v>
      </c>
      <c r="G26">
        <v>1</v>
      </c>
      <c r="H26">
        <f t="shared" si="0"/>
        <v>2</v>
      </c>
      <c r="I26">
        <f t="shared" si="1"/>
        <v>0</v>
      </c>
    </row>
    <row r="27" spans="1:9" x14ac:dyDescent="0.3">
      <c r="A27" t="s">
        <v>152</v>
      </c>
      <c r="B27">
        <v>2</v>
      </c>
      <c r="H27">
        <f t="shared" si="0"/>
        <v>2</v>
      </c>
      <c r="I27">
        <f t="shared" si="1"/>
        <v>0</v>
      </c>
    </row>
    <row r="28" spans="1:9" x14ac:dyDescent="0.3">
      <c r="A28" t="s">
        <v>156</v>
      </c>
      <c r="B28">
        <v>2</v>
      </c>
      <c r="H28">
        <f t="shared" si="0"/>
        <v>2</v>
      </c>
      <c r="I28">
        <f t="shared" si="1"/>
        <v>0</v>
      </c>
    </row>
    <row r="29" spans="1:9" x14ac:dyDescent="0.3">
      <c r="A29" t="s">
        <v>51</v>
      </c>
      <c r="B29">
        <v>4</v>
      </c>
      <c r="H29">
        <f t="shared" si="0"/>
        <v>4</v>
      </c>
      <c r="I29">
        <f t="shared" si="1"/>
        <v>0</v>
      </c>
    </row>
    <row r="30" spans="1:9" x14ac:dyDescent="0.3">
      <c r="A30" t="s">
        <v>6</v>
      </c>
      <c r="B30">
        <v>5</v>
      </c>
      <c r="G30">
        <v>1</v>
      </c>
      <c r="H30">
        <f t="shared" si="0"/>
        <v>5</v>
      </c>
      <c r="I30">
        <f t="shared" si="1"/>
        <v>0</v>
      </c>
    </row>
    <row r="31" spans="1:9" x14ac:dyDescent="0.3">
      <c r="A31" s="2" t="s">
        <v>4</v>
      </c>
      <c r="C31">
        <v>1</v>
      </c>
      <c r="H31">
        <f t="shared" si="0"/>
        <v>0</v>
      </c>
      <c r="I31">
        <f t="shared" si="1"/>
        <v>1</v>
      </c>
    </row>
    <row r="32" spans="1:9" x14ac:dyDescent="0.3">
      <c r="A32" s="2" t="s">
        <v>16</v>
      </c>
      <c r="F32">
        <v>1</v>
      </c>
      <c r="H32">
        <f t="shared" si="0"/>
        <v>0</v>
      </c>
      <c r="I32">
        <f t="shared" si="1"/>
        <v>1</v>
      </c>
    </row>
    <row r="33" spans="1:9" x14ac:dyDescent="0.3">
      <c r="A33" t="s">
        <v>21</v>
      </c>
      <c r="E33">
        <v>1</v>
      </c>
      <c r="H33">
        <f t="shared" si="0"/>
        <v>0</v>
      </c>
      <c r="I33">
        <f t="shared" si="1"/>
        <v>1</v>
      </c>
    </row>
    <row r="34" spans="1:9" x14ac:dyDescent="0.3">
      <c r="A34" t="s">
        <v>24</v>
      </c>
      <c r="F34">
        <v>1</v>
      </c>
      <c r="H34">
        <f t="shared" ref="H34:H68" si="2">SUM(B34,D34)</f>
        <v>0</v>
      </c>
      <c r="I34">
        <f t="shared" ref="I34:I68" si="3">SUM(C34,E34,F34)</f>
        <v>1</v>
      </c>
    </row>
    <row r="35" spans="1:9" x14ac:dyDescent="0.3">
      <c r="A35" t="s">
        <v>27</v>
      </c>
      <c r="F35">
        <v>1</v>
      </c>
      <c r="H35">
        <f t="shared" si="2"/>
        <v>0</v>
      </c>
      <c r="I35">
        <f t="shared" si="3"/>
        <v>1</v>
      </c>
    </row>
    <row r="36" spans="1:9" x14ac:dyDescent="0.3">
      <c r="A36" t="s">
        <v>192</v>
      </c>
      <c r="F36">
        <v>1</v>
      </c>
      <c r="H36">
        <f t="shared" si="2"/>
        <v>0</v>
      </c>
      <c r="I36">
        <f t="shared" si="3"/>
        <v>1</v>
      </c>
    </row>
    <row r="37" spans="1:9" x14ac:dyDescent="0.3">
      <c r="A37" t="s">
        <v>266</v>
      </c>
      <c r="E37">
        <v>1</v>
      </c>
      <c r="H37">
        <f t="shared" si="2"/>
        <v>0</v>
      </c>
      <c r="I37">
        <f t="shared" si="3"/>
        <v>1</v>
      </c>
    </row>
    <row r="38" spans="1:9" x14ac:dyDescent="0.3">
      <c r="A38" t="s">
        <v>239</v>
      </c>
      <c r="F38">
        <v>1</v>
      </c>
      <c r="H38">
        <f t="shared" si="2"/>
        <v>0</v>
      </c>
      <c r="I38">
        <f t="shared" si="3"/>
        <v>1</v>
      </c>
    </row>
    <row r="39" spans="1:9" x14ac:dyDescent="0.3">
      <c r="A39" t="s">
        <v>243</v>
      </c>
      <c r="F39">
        <v>1</v>
      </c>
      <c r="H39">
        <f t="shared" si="2"/>
        <v>0</v>
      </c>
      <c r="I39">
        <f t="shared" si="3"/>
        <v>1</v>
      </c>
    </row>
    <row r="40" spans="1:9" x14ac:dyDescent="0.3">
      <c r="A40" t="s">
        <v>33</v>
      </c>
      <c r="E40">
        <v>1</v>
      </c>
      <c r="H40">
        <f t="shared" si="2"/>
        <v>0</v>
      </c>
      <c r="I40">
        <f t="shared" si="3"/>
        <v>1</v>
      </c>
    </row>
    <row r="41" spans="1:9" x14ac:dyDescent="0.3">
      <c r="A41" t="s">
        <v>208</v>
      </c>
      <c r="F41">
        <v>1</v>
      </c>
      <c r="H41">
        <f t="shared" si="2"/>
        <v>0</v>
      </c>
      <c r="I41">
        <f t="shared" si="3"/>
        <v>1</v>
      </c>
    </row>
    <row r="42" spans="1:9" x14ac:dyDescent="0.3">
      <c r="A42" t="s">
        <v>79</v>
      </c>
      <c r="F42">
        <v>1</v>
      </c>
      <c r="H42">
        <f t="shared" si="2"/>
        <v>0</v>
      </c>
      <c r="I42">
        <f t="shared" si="3"/>
        <v>1</v>
      </c>
    </row>
    <row r="43" spans="1:9" x14ac:dyDescent="0.3">
      <c r="A43" t="s">
        <v>98</v>
      </c>
      <c r="C43">
        <v>1</v>
      </c>
      <c r="H43">
        <f t="shared" si="2"/>
        <v>0</v>
      </c>
      <c r="I43">
        <f t="shared" si="3"/>
        <v>1</v>
      </c>
    </row>
    <row r="44" spans="1:9" x14ac:dyDescent="0.3">
      <c r="A44" t="s">
        <v>113</v>
      </c>
      <c r="F44">
        <v>1</v>
      </c>
      <c r="H44">
        <f t="shared" si="2"/>
        <v>0</v>
      </c>
      <c r="I44">
        <f t="shared" si="3"/>
        <v>1</v>
      </c>
    </row>
    <row r="45" spans="1:9" x14ac:dyDescent="0.3">
      <c r="A45" t="s">
        <v>65</v>
      </c>
      <c r="B45">
        <v>1</v>
      </c>
      <c r="F45">
        <v>1</v>
      </c>
      <c r="H45">
        <f t="shared" si="2"/>
        <v>1</v>
      </c>
      <c r="I45">
        <f t="shared" si="3"/>
        <v>1</v>
      </c>
    </row>
    <row r="46" spans="1:9" x14ac:dyDescent="0.3">
      <c r="A46" t="s">
        <v>96</v>
      </c>
      <c r="D46">
        <v>1</v>
      </c>
      <c r="F46">
        <v>1</v>
      </c>
      <c r="H46">
        <f t="shared" si="2"/>
        <v>1</v>
      </c>
      <c r="I46">
        <f t="shared" si="3"/>
        <v>1</v>
      </c>
    </row>
    <row r="47" spans="1:9" x14ac:dyDescent="0.3">
      <c r="A47" t="s">
        <v>170</v>
      </c>
      <c r="C47">
        <v>2</v>
      </c>
      <c r="H47">
        <f t="shared" si="2"/>
        <v>0</v>
      </c>
      <c r="I47">
        <f t="shared" si="3"/>
        <v>2</v>
      </c>
    </row>
    <row r="48" spans="1:9" x14ac:dyDescent="0.3">
      <c r="A48" t="s">
        <v>34</v>
      </c>
      <c r="C48">
        <v>1</v>
      </c>
      <c r="E48">
        <v>1</v>
      </c>
      <c r="H48">
        <f t="shared" si="2"/>
        <v>0</v>
      </c>
      <c r="I48">
        <f t="shared" si="3"/>
        <v>2</v>
      </c>
    </row>
    <row r="49" spans="1:9" x14ac:dyDescent="0.3">
      <c r="A49" t="s">
        <v>35</v>
      </c>
      <c r="E49">
        <v>2</v>
      </c>
      <c r="H49">
        <f t="shared" si="2"/>
        <v>0</v>
      </c>
      <c r="I49">
        <f t="shared" si="3"/>
        <v>2</v>
      </c>
    </row>
    <row r="50" spans="1:9" x14ac:dyDescent="0.3">
      <c r="A50" t="s">
        <v>202</v>
      </c>
      <c r="C50">
        <v>1</v>
      </c>
      <c r="F50">
        <v>1</v>
      </c>
      <c r="H50">
        <f t="shared" si="2"/>
        <v>0</v>
      </c>
      <c r="I50">
        <f t="shared" si="3"/>
        <v>2</v>
      </c>
    </row>
    <row r="51" spans="1:9" x14ac:dyDescent="0.3">
      <c r="A51" t="s">
        <v>68</v>
      </c>
      <c r="F51">
        <v>2</v>
      </c>
      <c r="H51">
        <f t="shared" si="2"/>
        <v>0</v>
      </c>
      <c r="I51">
        <f t="shared" si="3"/>
        <v>2</v>
      </c>
    </row>
    <row r="52" spans="1:9" x14ac:dyDescent="0.3">
      <c r="A52" t="s">
        <v>93</v>
      </c>
      <c r="C52">
        <v>2</v>
      </c>
      <c r="H52">
        <f t="shared" si="2"/>
        <v>0</v>
      </c>
      <c r="I52">
        <f t="shared" si="3"/>
        <v>2</v>
      </c>
    </row>
    <row r="53" spans="1:9" x14ac:dyDescent="0.3">
      <c r="A53" t="s">
        <v>95</v>
      </c>
      <c r="F53">
        <v>2</v>
      </c>
      <c r="H53">
        <f t="shared" si="2"/>
        <v>0</v>
      </c>
      <c r="I53">
        <f t="shared" si="3"/>
        <v>2</v>
      </c>
    </row>
    <row r="54" spans="1:9" x14ac:dyDescent="0.3">
      <c r="A54" t="s">
        <v>104</v>
      </c>
      <c r="C54">
        <v>2</v>
      </c>
      <c r="H54">
        <f t="shared" si="2"/>
        <v>0</v>
      </c>
      <c r="I54">
        <f t="shared" si="3"/>
        <v>2</v>
      </c>
    </row>
    <row r="55" spans="1:9" x14ac:dyDescent="0.3">
      <c r="A55" t="s">
        <v>111</v>
      </c>
      <c r="C55">
        <v>2</v>
      </c>
      <c r="H55">
        <f t="shared" si="2"/>
        <v>0</v>
      </c>
      <c r="I55">
        <f t="shared" si="3"/>
        <v>2</v>
      </c>
    </row>
    <row r="56" spans="1:9" x14ac:dyDescent="0.3">
      <c r="A56" t="s">
        <v>124</v>
      </c>
      <c r="C56">
        <v>2</v>
      </c>
      <c r="H56">
        <f t="shared" si="2"/>
        <v>0</v>
      </c>
      <c r="I56">
        <f t="shared" si="3"/>
        <v>2</v>
      </c>
    </row>
    <row r="57" spans="1:9" x14ac:dyDescent="0.3">
      <c r="A57" t="s">
        <v>130</v>
      </c>
      <c r="F57">
        <v>2</v>
      </c>
      <c r="H57">
        <f t="shared" si="2"/>
        <v>0</v>
      </c>
      <c r="I57">
        <f t="shared" si="3"/>
        <v>2</v>
      </c>
    </row>
    <row r="58" spans="1:9" x14ac:dyDescent="0.3">
      <c r="A58" t="s">
        <v>141</v>
      </c>
      <c r="F58">
        <v>2</v>
      </c>
      <c r="H58">
        <f t="shared" si="2"/>
        <v>0</v>
      </c>
      <c r="I58">
        <f t="shared" si="3"/>
        <v>2</v>
      </c>
    </row>
    <row r="59" spans="1:9" x14ac:dyDescent="0.3">
      <c r="A59" t="s">
        <v>148</v>
      </c>
      <c r="F59">
        <v>2</v>
      </c>
      <c r="H59">
        <f t="shared" si="2"/>
        <v>0</v>
      </c>
      <c r="I59">
        <f t="shared" si="3"/>
        <v>2</v>
      </c>
    </row>
    <row r="60" spans="1:9" x14ac:dyDescent="0.3">
      <c r="A60" t="s">
        <v>13</v>
      </c>
      <c r="B60">
        <v>1</v>
      </c>
      <c r="F60">
        <v>2</v>
      </c>
      <c r="G60">
        <v>1</v>
      </c>
      <c r="H60">
        <f t="shared" si="2"/>
        <v>1</v>
      </c>
      <c r="I60">
        <f t="shared" si="3"/>
        <v>2</v>
      </c>
    </row>
    <row r="61" spans="1:9" x14ac:dyDescent="0.3">
      <c r="A61" t="s">
        <v>14</v>
      </c>
      <c r="F61">
        <v>3</v>
      </c>
      <c r="H61">
        <f t="shared" si="2"/>
        <v>0</v>
      </c>
      <c r="I61">
        <f t="shared" si="3"/>
        <v>3</v>
      </c>
    </row>
    <row r="62" spans="1:9" x14ac:dyDescent="0.3">
      <c r="A62" t="s">
        <v>19</v>
      </c>
      <c r="E62">
        <v>3</v>
      </c>
      <c r="H62">
        <f t="shared" si="2"/>
        <v>0</v>
      </c>
      <c r="I62">
        <f t="shared" si="3"/>
        <v>3</v>
      </c>
    </row>
    <row r="63" spans="1:9" x14ac:dyDescent="0.3">
      <c r="A63" t="s">
        <v>88</v>
      </c>
      <c r="C63">
        <v>4</v>
      </c>
      <c r="H63">
        <f t="shared" si="2"/>
        <v>0</v>
      </c>
      <c r="I63">
        <f t="shared" si="3"/>
        <v>4</v>
      </c>
    </row>
    <row r="64" spans="1:9" x14ac:dyDescent="0.3">
      <c r="A64" t="s">
        <v>115</v>
      </c>
      <c r="F64">
        <v>4</v>
      </c>
      <c r="H64">
        <f t="shared" si="2"/>
        <v>0</v>
      </c>
      <c r="I64">
        <f t="shared" si="3"/>
        <v>4</v>
      </c>
    </row>
    <row r="65" spans="1:9" x14ac:dyDescent="0.3">
      <c r="A65" t="s">
        <v>52</v>
      </c>
      <c r="C65">
        <v>1</v>
      </c>
      <c r="D65">
        <v>1</v>
      </c>
      <c r="F65">
        <v>3</v>
      </c>
      <c r="H65">
        <f t="shared" si="2"/>
        <v>1</v>
      </c>
      <c r="I65">
        <f t="shared" si="3"/>
        <v>4</v>
      </c>
    </row>
    <row r="66" spans="1:9" x14ac:dyDescent="0.3">
      <c r="A66" s="2" t="s">
        <v>172</v>
      </c>
      <c r="B66">
        <v>1</v>
      </c>
      <c r="C66">
        <v>5</v>
      </c>
      <c r="H66">
        <f t="shared" si="2"/>
        <v>1</v>
      </c>
      <c r="I66">
        <f t="shared" si="3"/>
        <v>5</v>
      </c>
    </row>
    <row r="67" spans="1:9" x14ac:dyDescent="0.3">
      <c r="A67" t="s">
        <v>89</v>
      </c>
      <c r="C67">
        <v>6</v>
      </c>
      <c r="G67">
        <v>1</v>
      </c>
      <c r="H67">
        <f t="shared" si="2"/>
        <v>0</v>
      </c>
      <c r="I67">
        <f t="shared" si="3"/>
        <v>6</v>
      </c>
    </row>
    <row r="68" spans="1:9" x14ac:dyDescent="0.3">
      <c r="A68" t="s">
        <v>50</v>
      </c>
      <c r="C68">
        <v>5</v>
      </c>
      <c r="F68">
        <v>2</v>
      </c>
      <c r="H68">
        <f t="shared" si="2"/>
        <v>0</v>
      </c>
      <c r="I68">
        <f t="shared" si="3"/>
        <v>7</v>
      </c>
    </row>
    <row r="69" spans="1:9" x14ac:dyDescent="0.3">
      <c r="A69" s="3" t="s">
        <v>260</v>
      </c>
      <c r="B69">
        <f t="shared" ref="B69:G69" si="4">COUNTA(B2:B67)</f>
        <v>22</v>
      </c>
      <c r="C69">
        <f t="shared" si="4"/>
        <v>13</v>
      </c>
      <c r="D69">
        <f t="shared" si="4"/>
        <v>9</v>
      </c>
      <c r="E69">
        <f t="shared" si="4"/>
        <v>6</v>
      </c>
      <c r="F69">
        <f t="shared" si="4"/>
        <v>21</v>
      </c>
      <c r="G69">
        <f t="shared" si="4"/>
        <v>7</v>
      </c>
      <c r="H69">
        <f>COUNTIF(H2:H68, "&gt;0")</f>
        <v>31</v>
      </c>
      <c r="I69">
        <f>COUNTIF(I2:I68, "&gt;0")</f>
        <v>38</v>
      </c>
    </row>
    <row r="70" spans="1:9" x14ac:dyDescent="0.3">
      <c r="A70" t="s">
        <v>241</v>
      </c>
      <c r="G70">
        <v>1</v>
      </c>
    </row>
  </sheetData>
  <sortState xmlns:xlrd2="http://schemas.microsoft.com/office/spreadsheetml/2017/richdata2" ref="A2:I70">
    <sortCondition ref="H6:H70"/>
  </sortState>
  <hyperlinks>
    <hyperlink ref="A6" r:id="rId1" display="https://ebird.org/species/gyhdov1" xr:uid="{00000000-0004-0000-0500-000001000000}"/>
    <hyperlink ref="A66" r:id="rId2" display="https://ebird.org/species/grbani" xr:uid="{00000000-0004-0000-0500-000002000000}"/>
    <hyperlink ref="A21" r:id="rId3" display="https://ebird.org/species/bcnher" xr:uid="{00000000-0004-0000-0500-000003000000}"/>
    <hyperlink ref="A31" r:id="rId4" display="https://ebird.org/species/thitin1" xr:uid="{00000000-0004-0000-0500-000000000000}"/>
  </hyperlinks>
  <pageMargins left="0.7" right="0.7" top="0.75" bottom="0.75" header="0.3" footer="0.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4"/>
  <sheetViews>
    <sheetView topLeftCell="E1" workbookViewId="0">
      <pane ySplit="1" topLeftCell="A71" activePane="bottomLeft" state="frozen"/>
      <selection pane="bottomLeft" activeCell="J87" sqref="J87"/>
    </sheetView>
  </sheetViews>
  <sheetFormatPr defaultColWidth="11.5546875" defaultRowHeight="14.4" x14ac:dyDescent="0.3"/>
  <cols>
    <col min="1" max="1" width="24.33203125" customWidth="1"/>
    <col min="2" max="11" width="12.77734375" customWidth="1"/>
  </cols>
  <sheetData>
    <row r="1" spans="1:11" s="9" customFormat="1" ht="28.8" x14ac:dyDescent="0.3">
      <c r="A1" s="12" t="s">
        <v>0</v>
      </c>
      <c r="B1" s="9" t="s">
        <v>281</v>
      </c>
      <c r="C1" s="9" t="s">
        <v>282</v>
      </c>
      <c r="D1" s="9" t="s">
        <v>283</v>
      </c>
      <c r="E1" s="9" t="s">
        <v>284</v>
      </c>
      <c r="F1" s="9" t="s">
        <v>285</v>
      </c>
      <c r="G1" s="9" t="s">
        <v>286</v>
      </c>
      <c r="H1" s="9" t="s">
        <v>287</v>
      </c>
      <c r="I1" s="9" t="s">
        <v>242</v>
      </c>
      <c r="J1" s="9" t="s">
        <v>268</v>
      </c>
      <c r="K1" s="9" t="s">
        <v>269</v>
      </c>
    </row>
    <row r="2" spans="1:11" x14ac:dyDescent="0.3">
      <c r="A2" t="s">
        <v>24</v>
      </c>
      <c r="B2">
        <v>1</v>
      </c>
      <c r="J2">
        <f t="shared" ref="J2:J33" si="0">SUM(D2:H2)</f>
        <v>0</v>
      </c>
      <c r="K2">
        <f t="shared" ref="K2:K33" si="1">SUM(B2:C2)</f>
        <v>1</v>
      </c>
    </row>
    <row r="3" spans="1:11" x14ac:dyDescent="0.3">
      <c r="A3" t="s">
        <v>27</v>
      </c>
      <c r="I3">
        <v>1</v>
      </c>
      <c r="J3">
        <f t="shared" si="0"/>
        <v>0</v>
      </c>
      <c r="K3">
        <f t="shared" si="1"/>
        <v>0</v>
      </c>
    </row>
    <row r="4" spans="1:11" x14ac:dyDescent="0.3">
      <c r="A4" t="s">
        <v>192</v>
      </c>
      <c r="C4">
        <v>1</v>
      </c>
      <c r="J4">
        <f t="shared" si="0"/>
        <v>0</v>
      </c>
      <c r="K4">
        <f t="shared" si="1"/>
        <v>1</v>
      </c>
    </row>
    <row r="5" spans="1:11" x14ac:dyDescent="0.3">
      <c r="A5" t="s">
        <v>205</v>
      </c>
      <c r="C5">
        <v>1</v>
      </c>
      <c r="J5">
        <f t="shared" si="0"/>
        <v>0</v>
      </c>
      <c r="K5">
        <f t="shared" si="1"/>
        <v>1</v>
      </c>
    </row>
    <row r="6" spans="1:11" x14ac:dyDescent="0.3">
      <c r="A6" t="s">
        <v>62</v>
      </c>
      <c r="C6">
        <v>1</v>
      </c>
      <c r="J6">
        <f t="shared" si="0"/>
        <v>0</v>
      </c>
      <c r="K6">
        <f t="shared" si="1"/>
        <v>1</v>
      </c>
    </row>
    <row r="7" spans="1:11" x14ac:dyDescent="0.3">
      <c r="A7" t="s">
        <v>93</v>
      </c>
      <c r="C7">
        <v>10</v>
      </c>
      <c r="J7">
        <f t="shared" si="0"/>
        <v>0</v>
      </c>
      <c r="K7">
        <f t="shared" si="1"/>
        <v>10</v>
      </c>
    </row>
    <row r="8" spans="1:11" x14ac:dyDescent="0.3">
      <c r="A8" t="s">
        <v>94</v>
      </c>
      <c r="B8">
        <v>5</v>
      </c>
      <c r="J8">
        <f t="shared" si="0"/>
        <v>0</v>
      </c>
      <c r="K8">
        <f t="shared" si="1"/>
        <v>5</v>
      </c>
    </row>
    <row r="9" spans="1:11" x14ac:dyDescent="0.3">
      <c r="A9" t="s">
        <v>95</v>
      </c>
      <c r="C9">
        <v>1</v>
      </c>
      <c r="J9">
        <f t="shared" si="0"/>
        <v>0</v>
      </c>
      <c r="K9">
        <f t="shared" si="1"/>
        <v>1</v>
      </c>
    </row>
    <row r="10" spans="1:11" x14ac:dyDescent="0.3">
      <c r="A10" t="s">
        <v>98</v>
      </c>
      <c r="B10">
        <v>1</v>
      </c>
      <c r="J10">
        <f t="shared" si="0"/>
        <v>0</v>
      </c>
      <c r="K10">
        <f t="shared" si="1"/>
        <v>1</v>
      </c>
    </row>
    <row r="11" spans="1:11" x14ac:dyDescent="0.3">
      <c r="A11" t="s">
        <v>102</v>
      </c>
      <c r="C11">
        <v>1</v>
      </c>
      <c r="J11">
        <f t="shared" si="0"/>
        <v>0</v>
      </c>
      <c r="K11">
        <f t="shared" si="1"/>
        <v>1</v>
      </c>
    </row>
    <row r="12" spans="1:11" x14ac:dyDescent="0.3">
      <c r="A12" t="s">
        <v>110</v>
      </c>
      <c r="B12">
        <v>2</v>
      </c>
      <c r="J12">
        <f t="shared" si="0"/>
        <v>0</v>
      </c>
      <c r="K12">
        <f t="shared" si="1"/>
        <v>2</v>
      </c>
    </row>
    <row r="13" spans="1:11" x14ac:dyDescent="0.3">
      <c r="A13" t="s">
        <v>125</v>
      </c>
      <c r="C13">
        <v>1</v>
      </c>
      <c r="J13">
        <f t="shared" si="0"/>
        <v>0</v>
      </c>
      <c r="K13">
        <f t="shared" si="1"/>
        <v>1</v>
      </c>
    </row>
    <row r="14" spans="1:11" x14ac:dyDescent="0.3">
      <c r="A14" t="s">
        <v>128</v>
      </c>
      <c r="B14">
        <v>2</v>
      </c>
      <c r="J14">
        <f t="shared" si="0"/>
        <v>0</v>
      </c>
      <c r="K14">
        <f t="shared" si="1"/>
        <v>2</v>
      </c>
    </row>
    <row r="15" spans="1:11" x14ac:dyDescent="0.3">
      <c r="A15" t="s">
        <v>135</v>
      </c>
      <c r="B15">
        <v>2</v>
      </c>
      <c r="J15">
        <f t="shared" si="0"/>
        <v>0</v>
      </c>
      <c r="K15">
        <f t="shared" si="1"/>
        <v>2</v>
      </c>
    </row>
    <row r="16" spans="1:11" x14ac:dyDescent="0.3">
      <c r="A16" t="s">
        <v>145</v>
      </c>
      <c r="C16">
        <v>1</v>
      </c>
      <c r="J16">
        <f t="shared" si="0"/>
        <v>0</v>
      </c>
      <c r="K16">
        <f t="shared" si="1"/>
        <v>1</v>
      </c>
    </row>
    <row r="17" spans="1:11" x14ac:dyDescent="0.3">
      <c r="A17" t="s">
        <v>9</v>
      </c>
      <c r="D17">
        <v>1</v>
      </c>
      <c r="J17">
        <f t="shared" si="0"/>
        <v>1</v>
      </c>
      <c r="K17">
        <f t="shared" si="1"/>
        <v>0</v>
      </c>
    </row>
    <row r="18" spans="1:11" x14ac:dyDescent="0.3">
      <c r="A18" t="s">
        <v>13</v>
      </c>
      <c r="E18">
        <v>1</v>
      </c>
      <c r="J18">
        <f t="shared" si="0"/>
        <v>1</v>
      </c>
      <c r="K18">
        <f t="shared" si="1"/>
        <v>0</v>
      </c>
    </row>
    <row r="19" spans="1:11" x14ac:dyDescent="0.3">
      <c r="A19" t="s">
        <v>171</v>
      </c>
      <c r="H19">
        <v>1</v>
      </c>
      <c r="J19">
        <f t="shared" si="0"/>
        <v>1</v>
      </c>
      <c r="K19">
        <f t="shared" si="1"/>
        <v>0</v>
      </c>
    </row>
    <row r="20" spans="1:11" x14ac:dyDescent="0.3">
      <c r="A20" t="s">
        <v>17</v>
      </c>
      <c r="H20">
        <v>1</v>
      </c>
      <c r="J20">
        <f t="shared" si="0"/>
        <v>1</v>
      </c>
      <c r="K20">
        <f t="shared" si="1"/>
        <v>0</v>
      </c>
    </row>
    <row r="21" spans="1:11" x14ac:dyDescent="0.3">
      <c r="A21" s="2" t="s">
        <v>25</v>
      </c>
      <c r="E21">
        <v>1</v>
      </c>
      <c r="J21">
        <f t="shared" si="0"/>
        <v>1</v>
      </c>
      <c r="K21">
        <f t="shared" si="1"/>
        <v>0</v>
      </c>
    </row>
    <row r="22" spans="1:11" x14ac:dyDescent="0.3">
      <c r="A22" t="s">
        <v>181</v>
      </c>
      <c r="H22">
        <v>1</v>
      </c>
      <c r="J22">
        <f t="shared" si="0"/>
        <v>1</v>
      </c>
      <c r="K22">
        <f t="shared" si="1"/>
        <v>0</v>
      </c>
    </row>
    <row r="23" spans="1:11" x14ac:dyDescent="0.3">
      <c r="A23" t="s">
        <v>182</v>
      </c>
      <c r="H23">
        <v>1</v>
      </c>
      <c r="J23">
        <f t="shared" si="0"/>
        <v>1</v>
      </c>
      <c r="K23">
        <f t="shared" si="1"/>
        <v>0</v>
      </c>
    </row>
    <row r="24" spans="1:11" x14ac:dyDescent="0.3">
      <c r="A24" t="s">
        <v>29</v>
      </c>
      <c r="E24">
        <v>1</v>
      </c>
      <c r="J24">
        <f t="shared" si="0"/>
        <v>1</v>
      </c>
      <c r="K24">
        <f t="shared" si="1"/>
        <v>0</v>
      </c>
    </row>
    <row r="25" spans="1:11" x14ac:dyDescent="0.3">
      <c r="A25" t="s">
        <v>195</v>
      </c>
      <c r="E25">
        <v>1</v>
      </c>
      <c r="J25">
        <f t="shared" si="0"/>
        <v>1</v>
      </c>
      <c r="K25">
        <f t="shared" si="1"/>
        <v>0</v>
      </c>
    </row>
    <row r="26" spans="1:11" x14ac:dyDescent="0.3">
      <c r="A26" t="s">
        <v>33</v>
      </c>
      <c r="D26">
        <v>1</v>
      </c>
      <c r="J26">
        <f t="shared" si="0"/>
        <v>1</v>
      </c>
      <c r="K26">
        <f t="shared" si="1"/>
        <v>0</v>
      </c>
    </row>
    <row r="27" spans="1:11" x14ac:dyDescent="0.3">
      <c r="A27" t="s">
        <v>198</v>
      </c>
      <c r="E27">
        <v>1</v>
      </c>
      <c r="J27">
        <f t="shared" si="0"/>
        <v>1</v>
      </c>
      <c r="K27">
        <f t="shared" si="1"/>
        <v>0</v>
      </c>
    </row>
    <row r="28" spans="1:11" x14ac:dyDescent="0.3">
      <c r="A28" t="s">
        <v>208</v>
      </c>
      <c r="D28">
        <v>1</v>
      </c>
      <c r="J28">
        <f t="shared" si="0"/>
        <v>1</v>
      </c>
      <c r="K28">
        <f t="shared" si="1"/>
        <v>0</v>
      </c>
    </row>
    <row r="29" spans="1:11" x14ac:dyDescent="0.3">
      <c r="A29" t="s">
        <v>46</v>
      </c>
      <c r="E29">
        <v>1</v>
      </c>
      <c r="J29">
        <f t="shared" si="0"/>
        <v>1</v>
      </c>
      <c r="K29">
        <f t="shared" si="1"/>
        <v>0</v>
      </c>
    </row>
    <row r="30" spans="1:11" x14ac:dyDescent="0.3">
      <c r="A30" t="s">
        <v>51</v>
      </c>
      <c r="H30">
        <v>1</v>
      </c>
      <c r="J30">
        <f t="shared" si="0"/>
        <v>1</v>
      </c>
      <c r="K30">
        <f t="shared" si="1"/>
        <v>0</v>
      </c>
    </row>
    <row r="31" spans="1:11" x14ac:dyDescent="0.3">
      <c r="A31" t="s">
        <v>52</v>
      </c>
      <c r="C31">
        <v>1</v>
      </c>
      <c r="E31">
        <v>1</v>
      </c>
      <c r="J31">
        <f t="shared" si="0"/>
        <v>1</v>
      </c>
      <c r="K31">
        <f t="shared" si="1"/>
        <v>1</v>
      </c>
    </row>
    <row r="32" spans="1:11" x14ac:dyDescent="0.3">
      <c r="A32" t="s">
        <v>54</v>
      </c>
      <c r="H32">
        <v>1</v>
      </c>
      <c r="J32">
        <f t="shared" si="0"/>
        <v>1</v>
      </c>
      <c r="K32">
        <f t="shared" si="1"/>
        <v>0</v>
      </c>
    </row>
    <row r="33" spans="1:11" x14ac:dyDescent="0.3">
      <c r="A33" t="s">
        <v>211</v>
      </c>
      <c r="H33">
        <v>1</v>
      </c>
      <c r="J33">
        <f t="shared" si="0"/>
        <v>1</v>
      </c>
      <c r="K33">
        <f t="shared" si="1"/>
        <v>0</v>
      </c>
    </row>
    <row r="34" spans="1:11" x14ac:dyDescent="0.3">
      <c r="A34" t="s">
        <v>213</v>
      </c>
      <c r="E34">
        <v>1</v>
      </c>
      <c r="J34">
        <f t="shared" ref="J34:J65" si="2">SUM(D34:H34)</f>
        <v>1</v>
      </c>
      <c r="K34">
        <f t="shared" ref="K34:K65" si="3">SUM(B34:C34)</f>
        <v>0</v>
      </c>
    </row>
    <row r="35" spans="1:11" x14ac:dyDescent="0.3">
      <c r="A35" t="s">
        <v>61</v>
      </c>
      <c r="G35">
        <v>1</v>
      </c>
      <c r="J35">
        <f t="shared" si="2"/>
        <v>1</v>
      </c>
      <c r="K35">
        <f t="shared" si="3"/>
        <v>0</v>
      </c>
    </row>
    <row r="36" spans="1:11" x14ac:dyDescent="0.3">
      <c r="A36" t="s">
        <v>63</v>
      </c>
      <c r="F36">
        <v>1</v>
      </c>
      <c r="J36">
        <f t="shared" si="2"/>
        <v>1</v>
      </c>
      <c r="K36">
        <f t="shared" si="3"/>
        <v>0</v>
      </c>
    </row>
    <row r="37" spans="1:11" x14ac:dyDescent="0.3">
      <c r="A37" t="s">
        <v>66</v>
      </c>
      <c r="B37">
        <v>1</v>
      </c>
      <c r="E37">
        <v>1</v>
      </c>
      <c r="J37">
        <f t="shared" si="2"/>
        <v>1</v>
      </c>
      <c r="K37">
        <f t="shared" si="3"/>
        <v>1</v>
      </c>
    </row>
    <row r="38" spans="1:11" x14ac:dyDescent="0.3">
      <c r="A38" t="s">
        <v>68</v>
      </c>
      <c r="G38">
        <v>1</v>
      </c>
      <c r="J38">
        <f t="shared" si="2"/>
        <v>1</v>
      </c>
      <c r="K38">
        <f t="shared" si="3"/>
        <v>0</v>
      </c>
    </row>
    <row r="39" spans="1:11" x14ac:dyDescent="0.3">
      <c r="A39" t="s">
        <v>71</v>
      </c>
      <c r="H39">
        <v>1</v>
      </c>
      <c r="J39">
        <f t="shared" si="2"/>
        <v>1</v>
      </c>
      <c r="K39">
        <f t="shared" si="3"/>
        <v>0</v>
      </c>
    </row>
    <row r="40" spans="1:11" x14ac:dyDescent="0.3">
      <c r="A40" t="s">
        <v>72</v>
      </c>
      <c r="B40">
        <v>1</v>
      </c>
      <c r="E40">
        <v>1</v>
      </c>
      <c r="J40">
        <f t="shared" si="2"/>
        <v>1</v>
      </c>
      <c r="K40">
        <f t="shared" si="3"/>
        <v>1</v>
      </c>
    </row>
    <row r="41" spans="1:11" x14ac:dyDescent="0.3">
      <c r="A41" t="s">
        <v>82</v>
      </c>
      <c r="E41">
        <v>1</v>
      </c>
      <c r="J41">
        <f t="shared" si="2"/>
        <v>1</v>
      </c>
      <c r="K41">
        <f t="shared" si="3"/>
        <v>0</v>
      </c>
    </row>
    <row r="42" spans="1:11" x14ac:dyDescent="0.3">
      <c r="A42" t="s">
        <v>90</v>
      </c>
      <c r="E42">
        <v>1</v>
      </c>
      <c r="J42">
        <f t="shared" si="2"/>
        <v>1</v>
      </c>
      <c r="K42">
        <f t="shared" si="3"/>
        <v>0</v>
      </c>
    </row>
    <row r="43" spans="1:11" x14ac:dyDescent="0.3">
      <c r="A43" t="s">
        <v>96</v>
      </c>
      <c r="E43">
        <v>1</v>
      </c>
      <c r="J43">
        <f t="shared" si="2"/>
        <v>1</v>
      </c>
      <c r="K43">
        <f t="shared" si="3"/>
        <v>0</v>
      </c>
    </row>
    <row r="44" spans="1:11" x14ac:dyDescent="0.3">
      <c r="A44" t="s">
        <v>101</v>
      </c>
      <c r="E44">
        <v>1</v>
      </c>
      <c r="J44">
        <f t="shared" si="2"/>
        <v>1</v>
      </c>
      <c r="K44">
        <f t="shared" si="3"/>
        <v>0</v>
      </c>
    </row>
    <row r="45" spans="1:11" x14ac:dyDescent="0.3">
      <c r="A45" t="s">
        <v>107</v>
      </c>
      <c r="E45">
        <v>1</v>
      </c>
      <c r="J45">
        <f t="shared" si="2"/>
        <v>1</v>
      </c>
      <c r="K45">
        <f t="shared" si="3"/>
        <v>0</v>
      </c>
    </row>
    <row r="46" spans="1:11" x14ac:dyDescent="0.3">
      <c r="A46" t="s">
        <v>112</v>
      </c>
      <c r="E46">
        <v>1</v>
      </c>
      <c r="J46">
        <f t="shared" si="2"/>
        <v>1</v>
      </c>
      <c r="K46">
        <f t="shared" si="3"/>
        <v>0</v>
      </c>
    </row>
    <row r="47" spans="1:11" x14ac:dyDescent="0.3">
      <c r="A47" t="s">
        <v>113</v>
      </c>
      <c r="H47">
        <v>1</v>
      </c>
      <c r="J47">
        <f t="shared" si="2"/>
        <v>1</v>
      </c>
      <c r="K47">
        <f t="shared" si="3"/>
        <v>0</v>
      </c>
    </row>
    <row r="48" spans="1:11" x14ac:dyDescent="0.3">
      <c r="A48" t="s">
        <v>141</v>
      </c>
      <c r="E48">
        <v>1</v>
      </c>
      <c r="J48">
        <f t="shared" si="2"/>
        <v>1</v>
      </c>
      <c r="K48">
        <f t="shared" si="3"/>
        <v>0</v>
      </c>
    </row>
    <row r="49" spans="1:11" x14ac:dyDescent="0.3">
      <c r="A49" t="s">
        <v>147</v>
      </c>
      <c r="E49">
        <v>1</v>
      </c>
      <c r="J49">
        <f t="shared" si="2"/>
        <v>1</v>
      </c>
      <c r="K49">
        <f t="shared" si="3"/>
        <v>0</v>
      </c>
    </row>
    <row r="50" spans="1:11" x14ac:dyDescent="0.3">
      <c r="A50" s="2" t="s">
        <v>4</v>
      </c>
      <c r="D50">
        <v>1</v>
      </c>
      <c r="E50">
        <v>1</v>
      </c>
      <c r="J50">
        <f t="shared" si="2"/>
        <v>2</v>
      </c>
      <c r="K50">
        <f t="shared" si="3"/>
        <v>0</v>
      </c>
    </row>
    <row r="51" spans="1:11" x14ac:dyDescent="0.3">
      <c r="A51" s="2" t="s">
        <v>172</v>
      </c>
      <c r="E51">
        <v>2</v>
      </c>
      <c r="J51">
        <f t="shared" si="2"/>
        <v>2</v>
      </c>
      <c r="K51">
        <f t="shared" si="3"/>
        <v>0</v>
      </c>
    </row>
    <row r="52" spans="1:11" x14ac:dyDescent="0.3">
      <c r="A52" t="s">
        <v>23</v>
      </c>
      <c r="E52">
        <v>2</v>
      </c>
      <c r="J52">
        <f t="shared" si="2"/>
        <v>2</v>
      </c>
      <c r="K52">
        <f t="shared" si="3"/>
        <v>0</v>
      </c>
    </row>
    <row r="53" spans="1:11" x14ac:dyDescent="0.3">
      <c r="A53" t="s">
        <v>186</v>
      </c>
      <c r="E53">
        <v>1</v>
      </c>
      <c r="H53">
        <v>1</v>
      </c>
      <c r="J53">
        <f t="shared" si="2"/>
        <v>2</v>
      </c>
      <c r="K53">
        <f t="shared" si="3"/>
        <v>0</v>
      </c>
    </row>
    <row r="54" spans="1:11" x14ac:dyDescent="0.3">
      <c r="A54" s="2" t="s">
        <v>189</v>
      </c>
      <c r="H54">
        <v>2</v>
      </c>
      <c r="J54">
        <f t="shared" si="2"/>
        <v>2</v>
      </c>
      <c r="K54">
        <f t="shared" si="3"/>
        <v>0</v>
      </c>
    </row>
    <row r="55" spans="1:11" x14ac:dyDescent="0.3">
      <c r="A55" t="s">
        <v>191</v>
      </c>
      <c r="H55">
        <v>2</v>
      </c>
      <c r="J55">
        <f t="shared" si="2"/>
        <v>2</v>
      </c>
      <c r="K55">
        <f t="shared" si="3"/>
        <v>0</v>
      </c>
    </row>
    <row r="56" spans="1:11" x14ac:dyDescent="0.3">
      <c r="A56" t="s">
        <v>32</v>
      </c>
      <c r="E56">
        <v>1</v>
      </c>
      <c r="H56">
        <v>1</v>
      </c>
      <c r="J56">
        <f t="shared" si="2"/>
        <v>2</v>
      </c>
      <c r="K56">
        <f t="shared" si="3"/>
        <v>0</v>
      </c>
    </row>
    <row r="57" spans="1:11" x14ac:dyDescent="0.3">
      <c r="A57" t="s">
        <v>40</v>
      </c>
      <c r="E57">
        <v>2</v>
      </c>
      <c r="J57">
        <f t="shared" si="2"/>
        <v>2</v>
      </c>
      <c r="K57">
        <f t="shared" si="3"/>
        <v>0</v>
      </c>
    </row>
    <row r="58" spans="1:11" x14ac:dyDescent="0.3">
      <c r="A58" t="s">
        <v>49</v>
      </c>
      <c r="F58">
        <v>2</v>
      </c>
      <c r="J58">
        <f t="shared" si="2"/>
        <v>2</v>
      </c>
      <c r="K58">
        <f t="shared" si="3"/>
        <v>0</v>
      </c>
    </row>
    <row r="59" spans="1:11" x14ac:dyDescent="0.3">
      <c r="A59" t="s">
        <v>58</v>
      </c>
      <c r="E59">
        <v>1</v>
      </c>
      <c r="H59">
        <v>1</v>
      </c>
      <c r="J59">
        <f t="shared" si="2"/>
        <v>2</v>
      </c>
      <c r="K59">
        <f t="shared" si="3"/>
        <v>0</v>
      </c>
    </row>
    <row r="60" spans="1:11" x14ac:dyDescent="0.3">
      <c r="A60" t="s">
        <v>65</v>
      </c>
      <c r="E60">
        <v>1</v>
      </c>
      <c r="H60">
        <v>1</v>
      </c>
      <c r="J60">
        <f t="shared" si="2"/>
        <v>2</v>
      </c>
      <c r="K60">
        <f t="shared" si="3"/>
        <v>0</v>
      </c>
    </row>
    <row r="61" spans="1:11" x14ac:dyDescent="0.3">
      <c r="A61" t="s">
        <v>76</v>
      </c>
      <c r="E61">
        <v>2</v>
      </c>
      <c r="J61">
        <f t="shared" si="2"/>
        <v>2</v>
      </c>
      <c r="K61">
        <f t="shared" si="3"/>
        <v>0</v>
      </c>
    </row>
    <row r="62" spans="1:11" x14ac:dyDescent="0.3">
      <c r="A62" t="s">
        <v>89</v>
      </c>
      <c r="G62">
        <v>2</v>
      </c>
      <c r="J62">
        <f t="shared" si="2"/>
        <v>2</v>
      </c>
      <c r="K62">
        <f t="shared" si="3"/>
        <v>0</v>
      </c>
    </row>
    <row r="63" spans="1:11" x14ac:dyDescent="0.3">
      <c r="A63" t="s">
        <v>99</v>
      </c>
      <c r="E63">
        <v>1</v>
      </c>
      <c r="F63">
        <v>1</v>
      </c>
      <c r="J63">
        <f t="shared" si="2"/>
        <v>2</v>
      </c>
      <c r="K63">
        <f t="shared" si="3"/>
        <v>0</v>
      </c>
    </row>
    <row r="64" spans="1:11" x14ac:dyDescent="0.3">
      <c r="A64" t="s">
        <v>100</v>
      </c>
      <c r="E64">
        <v>2</v>
      </c>
      <c r="J64">
        <f t="shared" si="2"/>
        <v>2</v>
      </c>
      <c r="K64">
        <f t="shared" si="3"/>
        <v>0</v>
      </c>
    </row>
    <row r="65" spans="1:11" x14ac:dyDescent="0.3">
      <c r="A65" t="s">
        <v>148</v>
      </c>
      <c r="B65">
        <v>1</v>
      </c>
      <c r="E65">
        <v>1</v>
      </c>
      <c r="H65">
        <v>1</v>
      </c>
      <c r="J65">
        <f t="shared" si="2"/>
        <v>2</v>
      </c>
      <c r="K65">
        <f t="shared" si="3"/>
        <v>1</v>
      </c>
    </row>
    <row r="66" spans="1:11" x14ac:dyDescent="0.3">
      <c r="A66" t="s">
        <v>158</v>
      </c>
      <c r="H66">
        <v>2</v>
      </c>
      <c r="J66">
        <f t="shared" ref="J66:J82" si="4">SUM(D66:H66)</f>
        <v>2</v>
      </c>
      <c r="K66">
        <f t="shared" ref="K66:K82" si="5">SUM(B66:C66)</f>
        <v>0</v>
      </c>
    </row>
    <row r="67" spans="1:11" x14ac:dyDescent="0.3">
      <c r="A67" t="s">
        <v>11</v>
      </c>
      <c r="F67">
        <v>3</v>
      </c>
      <c r="J67">
        <f t="shared" si="4"/>
        <v>3</v>
      </c>
      <c r="K67">
        <f t="shared" si="5"/>
        <v>0</v>
      </c>
    </row>
    <row r="68" spans="1:11" x14ac:dyDescent="0.3">
      <c r="A68" t="s">
        <v>14</v>
      </c>
      <c r="E68">
        <v>3</v>
      </c>
      <c r="J68">
        <f t="shared" si="4"/>
        <v>3</v>
      </c>
      <c r="K68">
        <f t="shared" si="5"/>
        <v>0</v>
      </c>
    </row>
    <row r="69" spans="1:11" x14ac:dyDescent="0.3">
      <c r="A69" t="s">
        <v>21</v>
      </c>
      <c r="D69">
        <v>3</v>
      </c>
      <c r="J69">
        <f t="shared" si="4"/>
        <v>3</v>
      </c>
      <c r="K69">
        <f t="shared" si="5"/>
        <v>0</v>
      </c>
    </row>
    <row r="70" spans="1:11" x14ac:dyDescent="0.3">
      <c r="A70" t="s">
        <v>183</v>
      </c>
      <c r="E70">
        <v>1</v>
      </c>
      <c r="H70">
        <v>2</v>
      </c>
      <c r="J70">
        <f t="shared" si="4"/>
        <v>3</v>
      </c>
      <c r="K70">
        <f t="shared" si="5"/>
        <v>0</v>
      </c>
    </row>
    <row r="71" spans="1:11" x14ac:dyDescent="0.3">
      <c r="A71" t="s">
        <v>36</v>
      </c>
      <c r="E71">
        <v>2</v>
      </c>
      <c r="H71">
        <v>1</v>
      </c>
      <c r="J71">
        <f t="shared" si="4"/>
        <v>3</v>
      </c>
      <c r="K71">
        <f t="shared" si="5"/>
        <v>0</v>
      </c>
    </row>
    <row r="72" spans="1:11" x14ac:dyDescent="0.3">
      <c r="A72" t="s">
        <v>67</v>
      </c>
      <c r="E72">
        <v>1</v>
      </c>
      <c r="F72">
        <v>1</v>
      </c>
      <c r="H72">
        <v>1</v>
      </c>
      <c r="J72">
        <f t="shared" si="4"/>
        <v>3</v>
      </c>
      <c r="K72">
        <f t="shared" si="5"/>
        <v>0</v>
      </c>
    </row>
    <row r="73" spans="1:11" x14ac:dyDescent="0.3">
      <c r="A73" t="s">
        <v>108</v>
      </c>
      <c r="B73">
        <v>2</v>
      </c>
      <c r="E73">
        <v>3</v>
      </c>
      <c r="J73">
        <f t="shared" si="4"/>
        <v>3</v>
      </c>
      <c r="K73">
        <f t="shared" si="5"/>
        <v>2</v>
      </c>
    </row>
    <row r="74" spans="1:11" x14ac:dyDescent="0.3">
      <c r="A74" t="s">
        <v>115</v>
      </c>
      <c r="H74">
        <v>3</v>
      </c>
      <c r="J74">
        <f t="shared" si="4"/>
        <v>3</v>
      </c>
      <c r="K74">
        <f t="shared" si="5"/>
        <v>0</v>
      </c>
    </row>
    <row r="75" spans="1:11" x14ac:dyDescent="0.3">
      <c r="A75" t="s">
        <v>152</v>
      </c>
      <c r="E75">
        <v>2</v>
      </c>
      <c r="H75">
        <v>1</v>
      </c>
      <c r="J75">
        <f t="shared" si="4"/>
        <v>3</v>
      </c>
      <c r="K75">
        <f t="shared" si="5"/>
        <v>0</v>
      </c>
    </row>
    <row r="76" spans="1:11" x14ac:dyDescent="0.3">
      <c r="A76" t="s">
        <v>184</v>
      </c>
      <c r="H76">
        <v>4</v>
      </c>
      <c r="J76">
        <f t="shared" si="4"/>
        <v>4</v>
      </c>
      <c r="K76">
        <f t="shared" si="5"/>
        <v>0</v>
      </c>
    </row>
    <row r="77" spans="1:11" x14ac:dyDescent="0.3">
      <c r="A77" t="s">
        <v>28</v>
      </c>
      <c r="H77">
        <v>4</v>
      </c>
      <c r="J77">
        <f t="shared" si="4"/>
        <v>4</v>
      </c>
      <c r="K77">
        <f t="shared" si="5"/>
        <v>0</v>
      </c>
    </row>
    <row r="78" spans="1:11" x14ac:dyDescent="0.3">
      <c r="A78" t="s">
        <v>84</v>
      </c>
      <c r="C78">
        <v>1</v>
      </c>
      <c r="E78">
        <v>5</v>
      </c>
      <c r="J78">
        <f>SUM(D78:H78)</f>
        <v>5</v>
      </c>
      <c r="K78">
        <f t="shared" si="5"/>
        <v>1</v>
      </c>
    </row>
    <row r="79" spans="1:11" x14ac:dyDescent="0.3">
      <c r="A79" t="s">
        <v>19</v>
      </c>
      <c r="D79">
        <v>6</v>
      </c>
      <c r="J79">
        <f t="shared" si="4"/>
        <v>6</v>
      </c>
      <c r="K79">
        <f t="shared" si="5"/>
        <v>0</v>
      </c>
    </row>
    <row r="80" spans="1:11" x14ac:dyDescent="0.3">
      <c r="A80" t="s">
        <v>144</v>
      </c>
      <c r="H80">
        <v>8</v>
      </c>
      <c r="J80">
        <f t="shared" si="4"/>
        <v>8</v>
      </c>
      <c r="K80">
        <f t="shared" si="5"/>
        <v>0</v>
      </c>
    </row>
    <row r="81" spans="1:11" x14ac:dyDescent="0.3">
      <c r="A81" s="2" t="s">
        <v>190</v>
      </c>
      <c r="H81">
        <v>9</v>
      </c>
      <c r="J81">
        <f t="shared" si="4"/>
        <v>9</v>
      </c>
      <c r="K81">
        <f t="shared" si="5"/>
        <v>0</v>
      </c>
    </row>
    <row r="82" spans="1:11" x14ac:dyDescent="0.3">
      <c r="A82" t="s">
        <v>88</v>
      </c>
      <c r="E82">
        <v>3</v>
      </c>
      <c r="H82">
        <v>8</v>
      </c>
      <c r="J82">
        <f t="shared" si="4"/>
        <v>11</v>
      </c>
      <c r="K82">
        <f t="shared" si="5"/>
        <v>0</v>
      </c>
    </row>
    <row r="83" spans="1:11" x14ac:dyDescent="0.3">
      <c r="A83" s="3" t="s">
        <v>261</v>
      </c>
      <c r="J83">
        <f>COUNTIF(J2:J82, "&gt;0")</f>
        <v>66</v>
      </c>
      <c r="K83">
        <f>COUNTIF(K2:K82, "&gt;0")</f>
        <v>20</v>
      </c>
    </row>
    <row r="84" spans="1:11" x14ac:dyDescent="0.3">
      <c r="K84" t="s">
        <v>272</v>
      </c>
    </row>
  </sheetData>
  <hyperlinks>
    <hyperlink ref="A50" r:id="rId1" display="https://ebird.org/species/thitin1" xr:uid="{00000000-0004-0000-0600-000000000000}"/>
    <hyperlink ref="A51" r:id="rId2" display="https://ebird.org/species/grbani" xr:uid="{00000000-0004-0000-0600-000001000000}"/>
    <hyperlink ref="A21" r:id="rId3" display="https://ebird.org/species/rtlhum" xr:uid="{00000000-0004-0000-0600-000002000000}"/>
  </hyperlinks>
  <pageMargins left="0.7" right="0.7" top="0.75" bottom="0.75" header="0.3" footer="0.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6"/>
  <sheetViews>
    <sheetView topLeftCell="A43" workbookViewId="0">
      <selection activeCell="A2" sqref="A2:A55"/>
    </sheetView>
  </sheetViews>
  <sheetFormatPr defaultColWidth="11.5546875" defaultRowHeight="14.4" x14ac:dyDescent="0.3"/>
  <cols>
    <col min="1" max="1" width="26" customWidth="1"/>
    <col min="2" max="2" width="26.77734375" customWidth="1"/>
    <col min="3" max="3" width="22" customWidth="1"/>
    <col min="4" max="4" width="13.109375" customWidth="1"/>
  </cols>
  <sheetData>
    <row r="1" spans="1:4" s="9" customFormat="1" ht="28.2" customHeight="1" x14ac:dyDescent="0.3">
      <c r="A1" s="12" t="s">
        <v>0</v>
      </c>
      <c r="B1" s="9" t="s">
        <v>290</v>
      </c>
      <c r="C1" s="9" t="s">
        <v>291</v>
      </c>
      <c r="D1" s="9" t="s">
        <v>292</v>
      </c>
    </row>
    <row r="2" spans="1:4" x14ac:dyDescent="0.3">
      <c r="A2" s="2" t="s">
        <v>4</v>
      </c>
      <c r="B2">
        <v>5</v>
      </c>
      <c r="D2">
        <f>SUM(B2:C2)</f>
        <v>5</v>
      </c>
    </row>
    <row r="3" spans="1:4" x14ac:dyDescent="0.3">
      <c r="A3" t="s">
        <v>161</v>
      </c>
      <c r="B3">
        <v>35</v>
      </c>
      <c r="D3">
        <f t="shared" ref="D3:D55" si="0">SUM(B3:C3)</f>
        <v>35</v>
      </c>
    </row>
    <row r="4" spans="1:4" x14ac:dyDescent="0.3">
      <c r="A4" t="s">
        <v>6</v>
      </c>
      <c r="B4">
        <v>4</v>
      </c>
      <c r="D4">
        <f t="shared" si="0"/>
        <v>4</v>
      </c>
    </row>
    <row r="5" spans="1:4" x14ac:dyDescent="0.3">
      <c r="A5" t="s">
        <v>164</v>
      </c>
      <c r="B5">
        <v>1</v>
      </c>
      <c r="D5">
        <f t="shared" si="0"/>
        <v>1</v>
      </c>
    </row>
    <row r="6" spans="1:4" x14ac:dyDescent="0.3">
      <c r="A6" t="s">
        <v>165</v>
      </c>
      <c r="B6">
        <v>1</v>
      </c>
      <c r="D6">
        <f t="shared" si="0"/>
        <v>1</v>
      </c>
    </row>
    <row r="7" spans="1:4" x14ac:dyDescent="0.3">
      <c r="A7" t="s">
        <v>11</v>
      </c>
      <c r="B7">
        <v>4</v>
      </c>
      <c r="D7">
        <f t="shared" si="0"/>
        <v>4</v>
      </c>
    </row>
    <row r="8" spans="1:4" x14ac:dyDescent="0.3">
      <c r="A8" t="s">
        <v>13</v>
      </c>
      <c r="B8">
        <v>2</v>
      </c>
      <c r="D8">
        <f t="shared" si="0"/>
        <v>2</v>
      </c>
    </row>
    <row r="9" spans="1:4" x14ac:dyDescent="0.3">
      <c r="A9" t="s">
        <v>14</v>
      </c>
      <c r="B9">
        <v>3</v>
      </c>
      <c r="D9">
        <f t="shared" si="0"/>
        <v>3</v>
      </c>
    </row>
    <row r="10" spans="1:4" x14ac:dyDescent="0.3">
      <c r="A10" t="s">
        <v>171</v>
      </c>
      <c r="B10">
        <v>5</v>
      </c>
      <c r="D10">
        <f t="shared" si="0"/>
        <v>5</v>
      </c>
    </row>
    <row r="11" spans="1:4" x14ac:dyDescent="0.3">
      <c r="A11" t="s">
        <v>17</v>
      </c>
      <c r="B11">
        <v>1</v>
      </c>
      <c r="D11">
        <f t="shared" si="0"/>
        <v>1</v>
      </c>
    </row>
    <row r="12" spans="1:4" x14ac:dyDescent="0.3">
      <c r="A12" s="2" t="s">
        <v>18</v>
      </c>
      <c r="B12">
        <v>1</v>
      </c>
      <c r="D12">
        <f t="shared" si="0"/>
        <v>1</v>
      </c>
    </row>
    <row r="13" spans="1:4" x14ac:dyDescent="0.3">
      <c r="A13" t="s">
        <v>174</v>
      </c>
      <c r="C13">
        <v>1</v>
      </c>
      <c r="D13">
        <f t="shared" si="0"/>
        <v>1</v>
      </c>
    </row>
    <row r="14" spans="1:4" x14ac:dyDescent="0.3">
      <c r="A14" t="s">
        <v>19</v>
      </c>
      <c r="B14">
        <v>2</v>
      </c>
      <c r="D14">
        <f t="shared" si="0"/>
        <v>2</v>
      </c>
    </row>
    <row r="15" spans="1:4" x14ac:dyDescent="0.3">
      <c r="A15" t="s">
        <v>20</v>
      </c>
      <c r="C15">
        <v>1</v>
      </c>
      <c r="D15">
        <f t="shared" si="0"/>
        <v>1</v>
      </c>
    </row>
    <row r="16" spans="1:4" x14ac:dyDescent="0.3">
      <c r="A16" t="s">
        <v>21</v>
      </c>
      <c r="B16">
        <v>2</v>
      </c>
      <c r="C16">
        <v>1</v>
      </c>
      <c r="D16">
        <f t="shared" si="0"/>
        <v>3</v>
      </c>
    </row>
    <row r="17" spans="1:4" x14ac:dyDescent="0.3">
      <c r="A17" t="s">
        <v>24</v>
      </c>
      <c r="B17">
        <v>1</v>
      </c>
      <c r="D17">
        <f t="shared" si="0"/>
        <v>1</v>
      </c>
    </row>
    <row r="18" spans="1:4" x14ac:dyDescent="0.3">
      <c r="A18" t="s">
        <v>179</v>
      </c>
      <c r="B18">
        <v>1</v>
      </c>
      <c r="D18">
        <f t="shared" si="0"/>
        <v>1</v>
      </c>
    </row>
    <row r="19" spans="1:4" x14ac:dyDescent="0.3">
      <c r="A19" t="s">
        <v>180</v>
      </c>
      <c r="B19">
        <v>2</v>
      </c>
      <c r="D19">
        <f t="shared" si="0"/>
        <v>2</v>
      </c>
    </row>
    <row r="20" spans="1:4" x14ac:dyDescent="0.3">
      <c r="A20" t="s">
        <v>29</v>
      </c>
      <c r="B20">
        <v>1</v>
      </c>
      <c r="D20">
        <f t="shared" si="0"/>
        <v>1</v>
      </c>
    </row>
    <row r="21" spans="1:4" x14ac:dyDescent="0.3">
      <c r="A21" t="s">
        <v>195</v>
      </c>
      <c r="B21">
        <v>1</v>
      </c>
      <c r="D21">
        <f t="shared" si="0"/>
        <v>1</v>
      </c>
    </row>
    <row r="22" spans="1:4" x14ac:dyDescent="0.3">
      <c r="A22" t="s">
        <v>32</v>
      </c>
      <c r="B22">
        <v>1</v>
      </c>
      <c r="D22">
        <f t="shared" si="0"/>
        <v>1</v>
      </c>
    </row>
    <row r="23" spans="1:4" x14ac:dyDescent="0.3">
      <c r="A23" t="s">
        <v>33</v>
      </c>
      <c r="B23">
        <v>3</v>
      </c>
      <c r="C23">
        <v>1</v>
      </c>
      <c r="D23">
        <f t="shared" si="0"/>
        <v>4</v>
      </c>
    </row>
    <row r="24" spans="1:4" x14ac:dyDescent="0.3">
      <c r="A24" t="s">
        <v>34</v>
      </c>
      <c r="B24">
        <v>1</v>
      </c>
      <c r="D24">
        <f t="shared" si="0"/>
        <v>1</v>
      </c>
    </row>
    <row r="25" spans="1:4" x14ac:dyDescent="0.3">
      <c r="A25" t="s">
        <v>35</v>
      </c>
      <c r="B25">
        <v>2</v>
      </c>
      <c r="C25">
        <v>2</v>
      </c>
      <c r="D25">
        <f t="shared" si="0"/>
        <v>4</v>
      </c>
    </row>
    <row r="26" spans="1:4" x14ac:dyDescent="0.3">
      <c r="A26" t="s">
        <v>36</v>
      </c>
      <c r="B26">
        <v>3</v>
      </c>
      <c r="D26">
        <f t="shared" si="0"/>
        <v>3</v>
      </c>
    </row>
    <row r="27" spans="1:4" x14ac:dyDescent="0.3">
      <c r="A27" t="s">
        <v>199</v>
      </c>
      <c r="B27">
        <v>1</v>
      </c>
      <c r="D27">
        <f t="shared" si="0"/>
        <v>1</v>
      </c>
    </row>
    <row r="28" spans="1:4" x14ac:dyDescent="0.3">
      <c r="A28" t="s">
        <v>40</v>
      </c>
      <c r="B28">
        <v>11</v>
      </c>
      <c r="D28">
        <f t="shared" si="0"/>
        <v>11</v>
      </c>
    </row>
    <row r="29" spans="1:4" x14ac:dyDescent="0.3">
      <c r="A29" t="s">
        <v>41</v>
      </c>
      <c r="B29">
        <v>1</v>
      </c>
      <c r="D29">
        <f t="shared" si="0"/>
        <v>1</v>
      </c>
    </row>
    <row r="30" spans="1:4" x14ac:dyDescent="0.3">
      <c r="A30" t="s">
        <v>49</v>
      </c>
      <c r="B30">
        <v>5</v>
      </c>
      <c r="D30">
        <f t="shared" si="0"/>
        <v>5</v>
      </c>
    </row>
    <row r="31" spans="1:4" x14ac:dyDescent="0.3">
      <c r="A31" t="s">
        <v>58</v>
      </c>
      <c r="B31">
        <v>2</v>
      </c>
      <c r="D31">
        <f t="shared" si="0"/>
        <v>2</v>
      </c>
    </row>
    <row r="32" spans="1:4" x14ac:dyDescent="0.3">
      <c r="A32" t="s">
        <v>63</v>
      </c>
      <c r="B32">
        <v>1</v>
      </c>
      <c r="D32">
        <f t="shared" si="0"/>
        <v>1</v>
      </c>
    </row>
    <row r="33" spans="1:4" x14ac:dyDescent="0.3">
      <c r="A33" t="s">
        <v>65</v>
      </c>
      <c r="B33">
        <v>1</v>
      </c>
      <c r="D33">
        <f t="shared" si="0"/>
        <v>1</v>
      </c>
    </row>
    <row r="34" spans="1:4" x14ac:dyDescent="0.3">
      <c r="A34" t="s">
        <v>68</v>
      </c>
      <c r="B34">
        <v>1</v>
      </c>
      <c r="D34">
        <f t="shared" si="0"/>
        <v>1</v>
      </c>
    </row>
    <row r="35" spans="1:4" x14ac:dyDescent="0.3">
      <c r="A35" t="s">
        <v>71</v>
      </c>
      <c r="B35">
        <v>2</v>
      </c>
      <c r="D35">
        <f t="shared" si="0"/>
        <v>2</v>
      </c>
    </row>
    <row r="36" spans="1:4" x14ac:dyDescent="0.3">
      <c r="A36" t="s">
        <v>222</v>
      </c>
      <c r="B36">
        <v>1</v>
      </c>
      <c r="D36">
        <f t="shared" si="0"/>
        <v>1</v>
      </c>
    </row>
    <row r="37" spans="1:4" x14ac:dyDescent="0.3">
      <c r="A37" t="s">
        <v>76</v>
      </c>
      <c r="B37">
        <v>1</v>
      </c>
      <c r="D37">
        <f t="shared" si="0"/>
        <v>1</v>
      </c>
    </row>
    <row r="38" spans="1:4" x14ac:dyDescent="0.3">
      <c r="A38" t="s">
        <v>79</v>
      </c>
      <c r="B38">
        <v>1</v>
      </c>
      <c r="D38">
        <f t="shared" si="0"/>
        <v>1</v>
      </c>
    </row>
    <row r="39" spans="1:4" x14ac:dyDescent="0.3">
      <c r="A39" t="s">
        <v>89</v>
      </c>
      <c r="B39">
        <v>4</v>
      </c>
      <c r="D39">
        <f t="shared" si="0"/>
        <v>4</v>
      </c>
    </row>
    <row r="40" spans="1:4" x14ac:dyDescent="0.3">
      <c r="A40" t="s">
        <v>91</v>
      </c>
      <c r="B40">
        <v>4</v>
      </c>
      <c r="D40">
        <f t="shared" si="0"/>
        <v>4</v>
      </c>
    </row>
    <row r="41" spans="1:4" x14ac:dyDescent="0.3">
      <c r="A41" t="s">
        <v>99</v>
      </c>
      <c r="B41">
        <v>2</v>
      </c>
      <c r="D41">
        <f t="shared" si="0"/>
        <v>2</v>
      </c>
    </row>
    <row r="42" spans="1:4" x14ac:dyDescent="0.3">
      <c r="A42" t="s">
        <v>101</v>
      </c>
      <c r="B42">
        <v>1</v>
      </c>
      <c r="D42">
        <f t="shared" si="0"/>
        <v>1</v>
      </c>
    </row>
    <row r="43" spans="1:4" x14ac:dyDescent="0.3">
      <c r="A43" t="s">
        <v>106</v>
      </c>
      <c r="B43">
        <v>1</v>
      </c>
      <c r="D43">
        <f t="shared" si="0"/>
        <v>1</v>
      </c>
    </row>
    <row r="44" spans="1:4" x14ac:dyDescent="0.3">
      <c r="A44" t="s">
        <v>107</v>
      </c>
      <c r="B44">
        <v>1</v>
      </c>
      <c r="D44">
        <f t="shared" si="0"/>
        <v>1</v>
      </c>
    </row>
    <row r="45" spans="1:4" x14ac:dyDescent="0.3">
      <c r="A45" t="s">
        <v>112</v>
      </c>
      <c r="B45">
        <v>1</v>
      </c>
      <c r="D45">
        <f t="shared" si="0"/>
        <v>1</v>
      </c>
    </row>
    <row r="46" spans="1:4" x14ac:dyDescent="0.3">
      <c r="A46" t="s">
        <v>124</v>
      </c>
      <c r="B46">
        <v>1</v>
      </c>
      <c r="D46">
        <f t="shared" si="0"/>
        <v>1</v>
      </c>
    </row>
    <row r="47" spans="1:4" x14ac:dyDescent="0.3">
      <c r="A47" t="s">
        <v>127</v>
      </c>
      <c r="B47">
        <v>1</v>
      </c>
      <c r="D47">
        <f t="shared" si="0"/>
        <v>1</v>
      </c>
    </row>
    <row r="48" spans="1:4" x14ac:dyDescent="0.3">
      <c r="A48" t="s">
        <v>128</v>
      </c>
      <c r="B48">
        <v>1</v>
      </c>
      <c r="D48">
        <f t="shared" si="0"/>
        <v>1</v>
      </c>
    </row>
    <row r="49" spans="1:4" x14ac:dyDescent="0.3">
      <c r="A49" t="s">
        <v>131</v>
      </c>
      <c r="B49">
        <v>1</v>
      </c>
      <c r="D49">
        <f t="shared" si="0"/>
        <v>1</v>
      </c>
    </row>
    <row r="50" spans="1:4" x14ac:dyDescent="0.3">
      <c r="A50" t="s">
        <v>135</v>
      </c>
      <c r="B50">
        <v>1</v>
      </c>
      <c r="D50">
        <f t="shared" si="0"/>
        <v>1</v>
      </c>
    </row>
    <row r="51" spans="1:4" x14ac:dyDescent="0.3">
      <c r="A51" t="s">
        <v>138</v>
      </c>
      <c r="B51">
        <v>1</v>
      </c>
      <c r="D51">
        <f t="shared" si="0"/>
        <v>1</v>
      </c>
    </row>
    <row r="52" spans="1:4" x14ac:dyDescent="0.3">
      <c r="A52" t="s">
        <v>144</v>
      </c>
      <c r="B52">
        <v>5</v>
      </c>
      <c r="D52">
        <f t="shared" si="0"/>
        <v>5</v>
      </c>
    </row>
    <row r="53" spans="1:4" x14ac:dyDescent="0.3">
      <c r="A53" t="s">
        <v>147</v>
      </c>
      <c r="B53">
        <v>2</v>
      </c>
      <c r="D53">
        <f t="shared" si="0"/>
        <v>2</v>
      </c>
    </row>
    <row r="54" spans="1:4" x14ac:dyDescent="0.3">
      <c r="A54" t="s">
        <v>150</v>
      </c>
      <c r="B54">
        <v>3</v>
      </c>
      <c r="D54">
        <f t="shared" si="0"/>
        <v>3</v>
      </c>
    </row>
    <row r="55" spans="1:4" x14ac:dyDescent="0.3">
      <c r="A55" t="s">
        <v>158</v>
      </c>
      <c r="B55">
        <v>2</v>
      </c>
      <c r="D55">
        <f t="shared" si="0"/>
        <v>2</v>
      </c>
    </row>
    <row r="56" spans="1:4" x14ac:dyDescent="0.3">
      <c r="A56" s="3" t="s">
        <v>262</v>
      </c>
      <c r="D56">
        <f>COUNT(D2:D55)</f>
        <v>54</v>
      </c>
    </row>
  </sheetData>
  <hyperlinks>
    <hyperlink ref="A2" r:id="rId1" display="https://ebird.org/species/thitin1" xr:uid="{00000000-0004-0000-0700-000000000000}"/>
    <hyperlink ref="A12" r:id="rId2" display="https://ebird.org/species/yebcuc" xr:uid="{00000000-0004-0000-0700-000001000000}"/>
  </hyperlinks>
  <pageMargins left="0.7" right="0.7" top="0.75" bottom="0.75" header="0.3" footer="0.3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9"/>
  <sheetViews>
    <sheetView workbookViewId="0">
      <selection activeCell="B11" sqref="B11"/>
    </sheetView>
  </sheetViews>
  <sheetFormatPr defaultColWidth="11.5546875" defaultRowHeight="14.4" x14ac:dyDescent="0.3"/>
  <cols>
    <col min="1" max="1" width="24.109375" customWidth="1"/>
  </cols>
  <sheetData>
    <row r="1" spans="1:5" x14ac:dyDescent="0.3">
      <c r="A1" s="1" t="s">
        <v>0</v>
      </c>
      <c r="B1" t="s">
        <v>247</v>
      </c>
      <c r="C1" t="s">
        <v>248</v>
      </c>
      <c r="D1" t="s">
        <v>249</v>
      </c>
      <c r="E1" t="s">
        <v>250</v>
      </c>
    </row>
    <row r="2" spans="1:5" x14ac:dyDescent="0.3">
      <c r="A2" s="1" t="s">
        <v>2</v>
      </c>
      <c r="B2" t="s">
        <v>251</v>
      </c>
      <c r="C2" t="s">
        <v>252</v>
      </c>
    </row>
    <row r="3" spans="1:5" x14ac:dyDescent="0.3">
      <c r="A3" s="1" t="s">
        <v>3</v>
      </c>
    </row>
    <row r="4" spans="1:5" x14ac:dyDescent="0.3">
      <c r="A4" s="2" t="s">
        <v>4</v>
      </c>
      <c r="B4">
        <v>3</v>
      </c>
      <c r="E4">
        <v>1</v>
      </c>
    </row>
    <row r="5" spans="1:5" x14ac:dyDescent="0.3">
      <c r="A5" t="s">
        <v>5</v>
      </c>
      <c r="D5">
        <v>5</v>
      </c>
    </row>
    <row r="6" spans="1:5" x14ac:dyDescent="0.3">
      <c r="A6" t="s">
        <v>6</v>
      </c>
      <c r="B6">
        <v>6</v>
      </c>
    </row>
    <row r="7" spans="1:5" x14ac:dyDescent="0.3">
      <c r="A7" t="s">
        <v>8</v>
      </c>
      <c r="E7">
        <v>1</v>
      </c>
    </row>
    <row r="8" spans="1:5" x14ac:dyDescent="0.3">
      <c r="A8" t="s">
        <v>162</v>
      </c>
      <c r="D8">
        <v>1</v>
      </c>
    </row>
    <row r="9" spans="1:5" x14ac:dyDescent="0.3">
      <c r="A9" t="s">
        <v>163</v>
      </c>
      <c r="D9">
        <v>2</v>
      </c>
    </row>
    <row r="10" spans="1:5" x14ac:dyDescent="0.3">
      <c r="A10" t="s">
        <v>9</v>
      </c>
      <c r="E10">
        <v>1</v>
      </c>
    </row>
    <row r="11" spans="1:5" x14ac:dyDescent="0.3">
      <c r="A11" t="s">
        <v>265</v>
      </c>
      <c r="B11">
        <v>1</v>
      </c>
    </row>
    <row r="12" spans="1:5" x14ac:dyDescent="0.3">
      <c r="A12" t="s">
        <v>11</v>
      </c>
      <c r="D12">
        <v>1</v>
      </c>
    </row>
    <row r="13" spans="1:5" x14ac:dyDescent="0.3">
      <c r="A13" t="s">
        <v>168</v>
      </c>
      <c r="D13">
        <v>2</v>
      </c>
    </row>
    <row r="14" spans="1:5" x14ac:dyDescent="0.3">
      <c r="A14" t="s">
        <v>169</v>
      </c>
      <c r="D14">
        <v>4</v>
      </c>
    </row>
    <row r="15" spans="1:5" x14ac:dyDescent="0.3">
      <c r="A15" t="s">
        <v>170</v>
      </c>
      <c r="D15">
        <v>2</v>
      </c>
    </row>
    <row r="16" spans="1:5" x14ac:dyDescent="0.3">
      <c r="A16" t="s">
        <v>12</v>
      </c>
      <c r="B16">
        <v>2</v>
      </c>
    </row>
    <row r="17" spans="1:5" x14ac:dyDescent="0.3">
      <c r="A17" t="s">
        <v>13</v>
      </c>
      <c r="B17">
        <v>2</v>
      </c>
      <c r="E17">
        <v>1</v>
      </c>
    </row>
    <row r="18" spans="1:5" x14ac:dyDescent="0.3">
      <c r="A18" t="s">
        <v>14</v>
      </c>
      <c r="D18">
        <v>2</v>
      </c>
    </row>
    <row r="19" spans="1:5" x14ac:dyDescent="0.3">
      <c r="A19" t="s">
        <v>171</v>
      </c>
      <c r="B19">
        <v>2</v>
      </c>
    </row>
    <row r="20" spans="1:5" x14ac:dyDescent="0.3">
      <c r="A20" s="2" t="s">
        <v>172</v>
      </c>
      <c r="D20">
        <v>2</v>
      </c>
    </row>
    <row r="21" spans="1:5" x14ac:dyDescent="0.3">
      <c r="A21" s="2" t="s">
        <v>16</v>
      </c>
      <c r="D21">
        <v>1</v>
      </c>
    </row>
    <row r="22" spans="1:5" x14ac:dyDescent="0.3">
      <c r="A22" t="s">
        <v>17</v>
      </c>
      <c r="B22">
        <v>1</v>
      </c>
    </row>
    <row r="23" spans="1:5" x14ac:dyDescent="0.3">
      <c r="A23" t="s">
        <v>19</v>
      </c>
      <c r="C23">
        <v>5</v>
      </c>
    </row>
    <row r="24" spans="1:5" x14ac:dyDescent="0.3">
      <c r="A24" t="s">
        <v>20</v>
      </c>
      <c r="C24">
        <v>1</v>
      </c>
    </row>
    <row r="25" spans="1:5" x14ac:dyDescent="0.3">
      <c r="A25" t="s">
        <v>186</v>
      </c>
      <c r="D25">
        <v>1</v>
      </c>
    </row>
    <row r="26" spans="1:5" x14ac:dyDescent="0.3">
      <c r="A26" s="2" t="s">
        <v>190</v>
      </c>
      <c r="C26">
        <v>2</v>
      </c>
    </row>
    <row r="27" spans="1:5" x14ac:dyDescent="0.3">
      <c r="A27" t="s">
        <v>32</v>
      </c>
      <c r="B27">
        <v>1</v>
      </c>
      <c r="E27">
        <v>1</v>
      </c>
    </row>
    <row r="28" spans="1:5" x14ac:dyDescent="0.3">
      <c r="A28" t="s">
        <v>198</v>
      </c>
      <c r="C28">
        <v>1</v>
      </c>
    </row>
    <row r="29" spans="1:5" x14ac:dyDescent="0.3">
      <c r="A29" t="s">
        <v>34</v>
      </c>
      <c r="B29">
        <v>1</v>
      </c>
      <c r="C29">
        <v>1</v>
      </c>
    </row>
    <row r="30" spans="1:5" x14ac:dyDescent="0.3">
      <c r="A30" t="s">
        <v>36</v>
      </c>
      <c r="B30">
        <v>1</v>
      </c>
    </row>
    <row r="31" spans="1:5" x14ac:dyDescent="0.3">
      <c r="A31" t="s">
        <v>199</v>
      </c>
      <c r="B31">
        <v>1</v>
      </c>
    </row>
    <row r="32" spans="1:5" x14ac:dyDescent="0.3">
      <c r="A32" t="s">
        <v>200</v>
      </c>
      <c r="B32">
        <v>1</v>
      </c>
    </row>
    <row r="33" spans="1:4" x14ac:dyDescent="0.3">
      <c r="A33" t="s">
        <v>40</v>
      </c>
      <c r="B33">
        <v>3</v>
      </c>
    </row>
    <row r="34" spans="1:4" x14ac:dyDescent="0.3">
      <c r="A34" t="s">
        <v>206</v>
      </c>
      <c r="D34">
        <v>2</v>
      </c>
    </row>
    <row r="35" spans="1:4" x14ac:dyDescent="0.3">
      <c r="A35" t="s">
        <v>43</v>
      </c>
      <c r="B35">
        <v>1</v>
      </c>
    </row>
    <row r="36" spans="1:4" x14ac:dyDescent="0.3">
      <c r="A36" t="s">
        <v>44</v>
      </c>
      <c r="B36">
        <v>2</v>
      </c>
    </row>
    <row r="37" spans="1:4" x14ac:dyDescent="0.3">
      <c r="A37" t="s">
        <v>46</v>
      </c>
      <c r="D37">
        <v>1</v>
      </c>
    </row>
    <row r="38" spans="1:4" x14ac:dyDescent="0.3">
      <c r="A38" t="s">
        <v>48</v>
      </c>
      <c r="B38">
        <v>6</v>
      </c>
    </row>
    <row r="39" spans="1:4" x14ac:dyDescent="0.3">
      <c r="A39" t="s">
        <v>49</v>
      </c>
      <c r="B39">
        <v>2</v>
      </c>
    </row>
    <row r="40" spans="1:4" x14ac:dyDescent="0.3">
      <c r="A40" t="s">
        <v>51</v>
      </c>
      <c r="B40">
        <v>6</v>
      </c>
    </row>
    <row r="41" spans="1:4" x14ac:dyDescent="0.3">
      <c r="A41" t="s">
        <v>54</v>
      </c>
      <c r="B41">
        <v>1</v>
      </c>
    </row>
    <row r="42" spans="1:4" x14ac:dyDescent="0.3">
      <c r="A42" t="s">
        <v>58</v>
      </c>
      <c r="B42">
        <v>1</v>
      </c>
    </row>
    <row r="43" spans="1:4" x14ac:dyDescent="0.3">
      <c r="A43" t="s">
        <v>60</v>
      </c>
      <c r="D43">
        <v>2</v>
      </c>
    </row>
    <row r="44" spans="1:4" x14ac:dyDescent="0.3">
      <c r="A44" t="s">
        <v>61</v>
      </c>
      <c r="D44">
        <v>1</v>
      </c>
    </row>
    <row r="45" spans="1:4" x14ac:dyDescent="0.3">
      <c r="A45" t="s">
        <v>72</v>
      </c>
      <c r="B45">
        <v>1</v>
      </c>
    </row>
    <row r="46" spans="1:4" x14ac:dyDescent="0.3">
      <c r="A46" t="s">
        <v>222</v>
      </c>
      <c r="B46">
        <v>2</v>
      </c>
      <c r="D46">
        <v>2</v>
      </c>
    </row>
    <row r="47" spans="1:4" x14ac:dyDescent="0.3">
      <c r="A47" t="s">
        <v>76</v>
      </c>
      <c r="B47">
        <v>4</v>
      </c>
    </row>
    <row r="48" spans="1:4" x14ac:dyDescent="0.3">
      <c r="A48" t="s">
        <v>80</v>
      </c>
      <c r="D48">
        <v>2</v>
      </c>
    </row>
    <row r="49" spans="1:5" x14ac:dyDescent="0.3">
      <c r="A49" t="s">
        <v>84</v>
      </c>
      <c r="D49">
        <v>4</v>
      </c>
    </row>
    <row r="50" spans="1:5" x14ac:dyDescent="0.3">
      <c r="A50" t="s">
        <v>89</v>
      </c>
      <c r="B50">
        <v>16</v>
      </c>
    </row>
    <row r="51" spans="1:5" x14ac:dyDescent="0.3">
      <c r="A51" t="s">
        <v>90</v>
      </c>
      <c r="D51">
        <v>2</v>
      </c>
    </row>
    <row r="52" spans="1:5" x14ac:dyDescent="0.3">
      <c r="A52" t="s">
        <v>95</v>
      </c>
      <c r="D52">
        <v>1</v>
      </c>
    </row>
    <row r="53" spans="1:5" x14ac:dyDescent="0.3">
      <c r="A53" t="s">
        <v>100</v>
      </c>
      <c r="B53">
        <v>4</v>
      </c>
    </row>
    <row r="54" spans="1:5" x14ac:dyDescent="0.3">
      <c r="A54" t="s">
        <v>109</v>
      </c>
      <c r="D54">
        <v>2</v>
      </c>
    </row>
    <row r="55" spans="1:5" x14ac:dyDescent="0.3">
      <c r="A55" t="s">
        <v>111</v>
      </c>
      <c r="D55">
        <v>1</v>
      </c>
    </row>
    <row r="56" spans="1:5" x14ac:dyDescent="0.3">
      <c r="A56" t="s">
        <v>113</v>
      </c>
      <c r="D56">
        <v>1</v>
      </c>
    </row>
    <row r="57" spans="1:5" x14ac:dyDescent="0.3">
      <c r="A57" t="s">
        <v>124</v>
      </c>
      <c r="B57">
        <v>2</v>
      </c>
    </row>
    <row r="58" spans="1:5" x14ac:dyDescent="0.3">
      <c r="A58" t="s">
        <v>149</v>
      </c>
      <c r="E58">
        <v>1</v>
      </c>
    </row>
    <row r="59" spans="1:5" x14ac:dyDescent="0.3">
      <c r="A59" s="3" t="s">
        <v>262</v>
      </c>
    </row>
  </sheetData>
  <hyperlinks>
    <hyperlink ref="A4" r:id="rId1" display="https://ebird.org/species/thitin1" xr:uid="{00000000-0004-0000-0800-000000000000}"/>
    <hyperlink ref="A20" r:id="rId2" display="https://ebird.org/species/grbani" xr:uid="{00000000-0004-0000-0800-000001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0"/>
  <sheetViews>
    <sheetView topLeftCell="A47" workbookViewId="0">
      <selection activeCell="H61" sqref="H61"/>
    </sheetView>
  </sheetViews>
  <sheetFormatPr defaultColWidth="11.5546875" defaultRowHeight="14.4" x14ac:dyDescent="0.3"/>
  <cols>
    <col min="1" max="1" width="24" customWidth="1"/>
    <col min="2" max="3" width="15.77734375" customWidth="1"/>
    <col min="4" max="4" width="15.77734375" hidden="1" customWidth="1"/>
  </cols>
  <sheetData>
    <row r="1" spans="1:5" s="9" customFormat="1" ht="28.8" x14ac:dyDescent="0.3">
      <c r="A1" s="12" t="s">
        <v>0</v>
      </c>
      <c r="B1" s="9" t="s">
        <v>288</v>
      </c>
      <c r="C1" s="9" t="s">
        <v>289</v>
      </c>
      <c r="D1" s="9" t="s">
        <v>253</v>
      </c>
      <c r="E1" s="9" t="s">
        <v>293</v>
      </c>
    </row>
    <row r="2" spans="1:5" x14ac:dyDescent="0.3">
      <c r="B2">
        <v>1</v>
      </c>
      <c r="E2">
        <f>SUM(B2:C2)</f>
        <v>1</v>
      </c>
    </row>
    <row r="3" spans="1:5" x14ac:dyDescent="0.3">
      <c r="B3">
        <v>5</v>
      </c>
      <c r="C3">
        <v>2</v>
      </c>
      <c r="D3">
        <v>1</v>
      </c>
      <c r="E3">
        <f t="shared" ref="E3:E59" si="0">SUM(B3:C3)</f>
        <v>7</v>
      </c>
    </row>
    <row r="4" spans="1:5" x14ac:dyDescent="0.3">
      <c r="D4">
        <v>1</v>
      </c>
      <c r="E4">
        <f t="shared" si="0"/>
        <v>0</v>
      </c>
    </row>
    <row r="5" spans="1:5" x14ac:dyDescent="0.3">
      <c r="B5">
        <v>1</v>
      </c>
      <c r="D5">
        <v>1</v>
      </c>
      <c r="E5">
        <f t="shared" si="0"/>
        <v>1</v>
      </c>
    </row>
    <row r="6" spans="1:5" x14ac:dyDescent="0.3">
      <c r="D6">
        <v>1</v>
      </c>
      <c r="E6">
        <f t="shared" si="0"/>
        <v>0</v>
      </c>
    </row>
    <row r="7" spans="1:5" x14ac:dyDescent="0.3">
      <c r="C7">
        <v>1</v>
      </c>
      <c r="E7">
        <f t="shared" si="0"/>
        <v>1</v>
      </c>
    </row>
    <row r="8" spans="1:5" x14ac:dyDescent="0.3">
      <c r="B8">
        <v>2</v>
      </c>
      <c r="E8">
        <f t="shared" si="0"/>
        <v>2</v>
      </c>
    </row>
    <row r="9" spans="1:5" x14ac:dyDescent="0.3">
      <c r="C9">
        <v>4</v>
      </c>
      <c r="E9">
        <f t="shared" si="0"/>
        <v>4</v>
      </c>
    </row>
    <row r="10" spans="1:5" x14ac:dyDescent="0.3">
      <c r="C10">
        <v>2</v>
      </c>
      <c r="E10">
        <f t="shared" si="0"/>
        <v>2</v>
      </c>
    </row>
    <row r="11" spans="1:5" x14ac:dyDescent="0.3">
      <c r="B11">
        <v>1</v>
      </c>
      <c r="C11">
        <v>2</v>
      </c>
      <c r="D11">
        <v>1</v>
      </c>
      <c r="E11">
        <f t="shared" si="0"/>
        <v>3</v>
      </c>
    </row>
    <row r="12" spans="1:5" x14ac:dyDescent="0.3">
      <c r="B12">
        <v>1</v>
      </c>
      <c r="E12">
        <f t="shared" si="0"/>
        <v>1</v>
      </c>
    </row>
    <row r="13" spans="1:5" x14ac:dyDescent="0.3">
      <c r="B13">
        <v>1</v>
      </c>
      <c r="E13">
        <f t="shared" si="0"/>
        <v>1</v>
      </c>
    </row>
    <row r="14" spans="1:5" x14ac:dyDescent="0.3">
      <c r="B14">
        <v>1</v>
      </c>
      <c r="E14">
        <f t="shared" si="0"/>
        <v>1</v>
      </c>
    </row>
    <row r="15" spans="1:5" x14ac:dyDescent="0.3">
      <c r="C15">
        <v>15</v>
      </c>
      <c r="E15">
        <f t="shared" si="0"/>
        <v>15</v>
      </c>
    </row>
    <row r="16" spans="1:5" x14ac:dyDescent="0.3">
      <c r="B16">
        <v>2</v>
      </c>
      <c r="D16">
        <v>1</v>
      </c>
      <c r="E16">
        <f t="shared" si="0"/>
        <v>2</v>
      </c>
    </row>
    <row r="17" spans="2:5" x14ac:dyDescent="0.3">
      <c r="D17">
        <v>1</v>
      </c>
      <c r="E17">
        <f t="shared" si="0"/>
        <v>0</v>
      </c>
    </row>
    <row r="18" spans="2:5" x14ac:dyDescent="0.3">
      <c r="C18">
        <v>2</v>
      </c>
      <c r="E18">
        <f t="shared" si="0"/>
        <v>2</v>
      </c>
    </row>
    <row r="19" spans="2:5" x14ac:dyDescent="0.3">
      <c r="C19">
        <v>2</v>
      </c>
      <c r="E19">
        <f t="shared" si="0"/>
        <v>2</v>
      </c>
    </row>
    <row r="20" spans="2:5" x14ac:dyDescent="0.3">
      <c r="C20">
        <v>1</v>
      </c>
      <c r="E20">
        <f t="shared" si="0"/>
        <v>1</v>
      </c>
    </row>
    <row r="21" spans="2:5" x14ac:dyDescent="0.3">
      <c r="C21">
        <v>1</v>
      </c>
      <c r="E21">
        <f t="shared" si="0"/>
        <v>1</v>
      </c>
    </row>
    <row r="22" spans="2:5" x14ac:dyDescent="0.3">
      <c r="C22">
        <v>1</v>
      </c>
      <c r="E22">
        <f t="shared" si="0"/>
        <v>1</v>
      </c>
    </row>
    <row r="23" spans="2:5" x14ac:dyDescent="0.3">
      <c r="C23">
        <v>1</v>
      </c>
      <c r="E23">
        <f t="shared" si="0"/>
        <v>1</v>
      </c>
    </row>
    <row r="24" spans="2:5" x14ac:dyDescent="0.3">
      <c r="B24">
        <v>1</v>
      </c>
      <c r="C24">
        <v>1</v>
      </c>
      <c r="E24">
        <f t="shared" si="0"/>
        <v>2</v>
      </c>
    </row>
    <row r="25" spans="2:5" x14ac:dyDescent="0.3">
      <c r="B25">
        <v>1</v>
      </c>
      <c r="C25">
        <v>1</v>
      </c>
      <c r="E25">
        <f t="shared" si="0"/>
        <v>2</v>
      </c>
    </row>
    <row r="26" spans="2:5" x14ac:dyDescent="0.3">
      <c r="C26">
        <v>2</v>
      </c>
      <c r="E26">
        <f t="shared" si="0"/>
        <v>2</v>
      </c>
    </row>
    <row r="27" spans="2:5" x14ac:dyDescent="0.3">
      <c r="B27">
        <v>1</v>
      </c>
      <c r="E27">
        <f t="shared" si="0"/>
        <v>1</v>
      </c>
    </row>
    <row r="28" spans="2:5" x14ac:dyDescent="0.3">
      <c r="C28">
        <v>4</v>
      </c>
      <c r="E28">
        <f t="shared" si="0"/>
        <v>4</v>
      </c>
    </row>
    <row r="29" spans="2:5" x14ac:dyDescent="0.3">
      <c r="B29">
        <v>4</v>
      </c>
      <c r="E29">
        <f t="shared" si="0"/>
        <v>4</v>
      </c>
    </row>
    <row r="30" spans="2:5" x14ac:dyDescent="0.3">
      <c r="B30">
        <v>1</v>
      </c>
      <c r="C30">
        <v>1</v>
      </c>
      <c r="E30">
        <f t="shared" si="0"/>
        <v>2</v>
      </c>
    </row>
    <row r="31" spans="2:5" x14ac:dyDescent="0.3">
      <c r="C31">
        <v>6</v>
      </c>
      <c r="E31">
        <f t="shared" si="0"/>
        <v>6</v>
      </c>
    </row>
    <row r="32" spans="2:5" x14ac:dyDescent="0.3">
      <c r="B32">
        <v>2</v>
      </c>
      <c r="C32">
        <v>4</v>
      </c>
      <c r="E32">
        <f t="shared" si="0"/>
        <v>6</v>
      </c>
    </row>
    <row r="33" spans="2:5" x14ac:dyDescent="0.3">
      <c r="C33">
        <v>1</v>
      </c>
      <c r="E33">
        <f t="shared" si="0"/>
        <v>1</v>
      </c>
    </row>
    <row r="34" spans="2:5" x14ac:dyDescent="0.3">
      <c r="D34">
        <v>1</v>
      </c>
      <c r="E34">
        <f t="shared" si="0"/>
        <v>0</v>
      </c>
    </row>
    <row r="35" spans="2:5" x14ac:dyDescent="0.3">
      <c r="B35">
        <v>1</v>
      </c>
      <c r="E35">
        <f t="shared" si="0"/>
        <v>1</v>
      </c>
    </row>
    <row r="36" spans="2:5" x14ac:dyDescent="0.3">
      <c r="B36">
        <v>1</v>
      </c>
      <c r="E36">
        <f t="shared" si="0"/>
        <v>1</v>
      </c>
    </row>
    <row r="37" spans="2:5" x14ac:dyDescent="0.3">
      <c r="B37">
        <v>1</v>
      </c>
      <c r="E37">
        <f t="shared" si="0"/>
        <v>1</v>
      </c>
    </row>
    <row r="38" spans="2:5" x14ac:dyDescent="0.3">
      <c r="B38">
        <v>1</v>
      </c>
      <c r="E38">
        <f t="shared" si="0"/>
        <v>1</v>
      </c>
    </row>
    <row r="39" spans="2:5" x14ac:dyDescent="0.3">
      <c r="B39">
        <v>1</v>
      </c>
      <c r="E39">
        <f t="shared" si="0"/>
        <v>1</v>
      </c>
    </row>
    <row r="40" spans="2:5" x14ac:dyDescent="0.3">
      <c r="B40">
        <v>1</v>
      </c>
      <c r="D40">
        <v>1</v>
      </c>
      <c r="E40">
        <f t="shared" si="0"/>
        <v>1</v>
      </c>
    </row>
    <row r="41" spans="2:5" x14ac:dyDescent="0.3">
      <c r="B41">
        <v>2</v>
      </c>
      <c r="E41">
        <f t="shared" si="0"/>
        <v>2</v>
      </c>
    </row>
    <row r="42" spans="2:5" x14ac:dyDescent="0.3">
      <c r="B42">
        <v>1</v>
      </c>
      <c r="C42">
        <v>6</v>
      </c>
      <c r="E42">
        <f t="shared" si="0"/>
        <v>7</v>
      </c>
    </row>
    <row r="43" spans="2:5" x14ac:dyDescent="0.3">
      <c r="B43">
        <v>2</v>
      </c>
      <c r="C43">
        <v>8</v>
      </c>
      <c r="D43">
        <v>1</v>
      </c>
      <c r="E43">
        <f t="shared" si="0"/>
        <v>10</v>
      </c>
    </row>
    <row r="44" spans="2:5" x14ac:dyDescent="0.3">
      <c r="B44">
        <v>1</v>
      </c>
      <c r="E44">
        <f t="shared" si="0"/>
        <v>1</v>
      </c>
    </row>
    <row r="45" spans="2:5" x14ac:dyDescent="0.3">
      <c r="B45">
        <v>2</v>
      </c>
      <c r="E45">
        <f t="shared" si="0"/>
        <v>2</v>
      </c>
    </row>
    <row r="46" spans="2:5" x14ac:dyDescent="0.3">
      <c r="C46">
        <v>4</v>
      </c>
      <c r="D46">
        <v>1</v>
      </c>
      <c r="E46">
        <f t="shared" si="0"/>
        <v>4</v>
      </c>
    </row>
    <row r="47" spans="2:5" x14ac:dyDescent="0.3">
      <c r="B47">
        <v>1</v>
      </c>
      <c r="E47">
        <f t="shared" si="0"/>
        <v>1</v>
      </c>
    </row>
    <row r="48" spans="2:5" x14ac:dyDescent="0.3">
      <c r="B48">
        <v>2</v>
      </c>
      <c r="E48">
        <f t="shared" si="0"/>
        <v>2</v>
      </c>
    </row>
    <row r="49" spans="1:5" x14ac:dyDescent="0.3">
      <c r="B49">
        <v>2</v>
      </c>
      <c r="C49">
        <v>1</v>
      </c>
      <c r="E49">
        <f t="shared" si="0"/>
        <v>3</v>
      </c>
    </row>
    <row r="50" spans="1:5" x14ac:dyDescent="0.3">
      <c r="B50">
        <v>1</v>
      </c>
      <c r="E50">
        <f t="shared" si="0"/>
        <v>1</v>
      </c>
    </row>
    <row r="51" spans="1:5" x14ac:dyDescent="0.3">
      <c r="B51">
        <v>1</v>
      </c>
      <c r="C51">
        <v>2</v>
      </c>
      <c r="E51">
        <f t="shared" si="0"/>
        <v>3</v>
      </c>
    </row>
    <row r="52" spans="1:5" x14ac:dyDescent="0.3">
      <c r="C52">
        <v>3</v>
      </c>
      <c r="E52">
        <f t="shared" si="0"/>
        <v>3</v>
      </c>
    </row>
    <row r="53" spans="1:5" x14ac:dyDescent="0.3">
      <c r="C53">
        <v>2</v>
      </c>
      <c r="E53">
        <f t="shared" si="0"/>
        <v>2</v>
      </c>
    </row>
    <row r="54" spans="1:5" x14ac:dyDescent="0.3">
      <c r="B54">
        <v>4</v>
      </c>
      <c r="E54">
        <f t="shared" si="0"/>
        <v>4</v>
      </c>
    </row>
    <row r="55" spans="1:5" x14ac:dyDescent="0.3">
      <c r="C55">
        <v>1</v>
      </c>
      <c r="E55">
        <f t="shared" si="0"/>
        <v>1</v>
      </c>
    </row>
    <row r="56" spans="1:5" x14ac:dyDescent="0.3">
      <c r="B56">
        <v>2</v>
      </c>
      <c r="E56">
        <f t="shared" si="0"/>
        <v>2</v>
      </c>
    </row>
    <row r="57" spans="1:5" x14ac:dyDescent="0.3">
      <c r="B57">
        <v>2</v>
      </c>
      <c r="D57">
        <v>1</v>
      </c>
      <c r="E57">
        <f t="shared" si="0"/>
        <v>2</v>
      </c>
    </row>
    <row r="58" spans="1:5" x14ac:dyDescent="0.3">
      <c r="B58">
        <v>2</v>
      </c>
      <c r="E58">
        <f t="shared" si="0"/>
        <v>2</v>
      </c>
    </row>
    <row r="59" spans="1:5" x14ac:dyDescent="0.3">
      <c r="C59">
        <v>2</v>
      </c>
      <c r="E59">
        <f t="shared" si="0"/>
        <v>2</v>
      </c>
    </row>
    <row r="60" spans="1:5" x14ac:dyDescent="0.3">
      <c r="A60" s="3" t="s">
        <v>264</v>
      </c>
      <c r="E60">
        <f>COUNTIF(E2:E59, "&gt;0")</f>
        <v>54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4"/>
  <sheetViews>
    <sheetView tabSelected="1" topLeftCell="B17" workbookViewId="0">
      <selection activeCell="C4" sqref="C4"/>
    </sheetView>
  </sheetViews>
  <sheetFormatPr defaultColWidth="11.5546875" defaultRowHeight="14.4" x14ac:dyDescent="0.3"/>
  <cols>
    <col min="1" max="1" width="25" customWidth="1"/>
    <col min="2" max="3" width="15.77734375" customWidth="1"/>
    <col min="4" max="4" width="24.77734375" hidden="1" customWidth="1"/>
    <col min="5" max="5" width="12.5546875" customWidth="1"/>
  </cols>
  <sheetData>
    <row r="1" spans="1:5" s="9" customFormat="1" ht="28.8" x14ac:dyDescent="0.3">
      <c r="A1" s="12" t="s">
        <v>0</v>
      </c>
      <c r="B1" s="9" t="s">
        <v>294</v>
      </c>
      <c r="C1" s="9" t="s">
        <v>295</v>
      </c>
      <c r="D1" s="9" t="s">
        <v>254</v>
      </c>
      <c r="E1" s="9" t="s">
        <v>293</v>
      </c>
    </row>
    <row r="2" spans="1:5" x14ac:dyDescent="0.3">
      <c r="A2" s="2" t="s">
        <v>4</v>
      </c>
      <c r="C2">
        <v>1</v>
      </c>
      <c r="E2">
        <f>SUM(B2:C2)</f>
        <v>1</v>
      </c>
    </row>
    <row r="3" spans="1:5" x14ac:dyDescent="0.3">
      <c r="A3" t="s">
        <v>161</v>
      </c>
      <c r="B3">
        <v>1</v>
      </c>
      <c r="E3">
        <f t="shared" ref="E3:E63" si="0">SUM(B3:C3)</f>
        <v>1</v>
      </c>
    </row>
    <row r="4" spans="1:5" x14ac:dyDescent="0.3">
      <c r="A4" t="s">
        <v>6</v>
      </c>
      <c r="C4">
        <v>2</v>
      </c>
      <c r="D4">
        <v>1</v>
      </c>
      <c r="E4">
        <f t="shared" si="0"/>
        <v>2</v>
      </c>
    </row>
    <row r="5" spans="1:5" hidden="1" x14ac:dyDescent="0.3">
      <c r="A5" t="s">
        <v>8</v>
      </c>
      <c r="D5">
        <v>1</v>
      </c>
      <c r="E5">
        <f t="shared" si="0"/>
        <v>0</v>
      </c>
    </row>
    <row r="6" spans="1:5" x14ac:dyDescent="0.3">
      <c r="A6" t="s">
        <v>163</v>
      </c>
      <c r="B6">
        <v>5</v>
      </c>
      <c r="E6">
        <f t="shared" si="0"/>
        <v>5</v>
      </c>
    </row>
    <row r="7" spans="1:5" hidden="1" x14ac:dyDescent="0.3">
      <c r="A7" t="s">
        <v>9</v>
      </c>
      <c r="D7">
        <v>1</v>
      </c>
      <c r="E7">
        <f t="shared" si="0"/>
        <v>0</v>
      </c>
    </row>
    <row r="8" spans="1:5" x14ac:dyDescent="0.3">
      <c r="A8" t="s">
        <v>11</v>
      </c>
      <c r="C8">
        <v>1</v>
      </c>
      <c r="E8">
        <f t="shared" si="0"/>
        <v>1</v>
      </c>
    </row>
    <row r="9" spans="1:5" x14ac:dyDescent="0.3">
      <c r="A9" t="s">
        <v>167</v>
      </c>
      <c r="B9">
        <v>5</v>
      </c>
      <c r="E9">
        <f t="shared" si="0"/>
        <v>5</v>
      </c>
    </row>
    <row r="10" spans="1:5" x14ac:dyDescent="0.3">
      <c r="A10" t="s">
        <v>170</v>
      </c>
      <c r="B10">
        <v>3</v>
      </c>
      <c r="C10">
        <v>2</v>
      </c>
      <c r="E10">
        <f t="shared" si="0"/>
        <v>5</v>
      </c>
    </row>
    <row r="11" spans="1:5" x14ac:dyDescent="0.3">
      <c r="A11" t="s">
        <v>13</v>
      </c>
      <c r="B11">
        <v>1</v>
      </c>
      <c r="C11">
        <v>1</v>
      </c>
      <c r="E11">
        <f t="shared" si="0"/>
        <v>2</v>
      </c>
    </row>
    <row r="12" spans="1:5" x14ac:dyDescent="0.3">
      <c r="A12" t="s">
        <v>171</v>
      </c>
      <c r="B12">
        <v>19</v>
      </c>
      <c r="C12">
        <v>1</v>
      </c>
      <c r="E12">
        <f t="shared" si="0"/>
        <v>20</v>
      </c>
    </row>
    <row r="13" spans="1:5" x14ac:dyDescent="0.3">
      <c r="A13" s="2" t="s">
        <v>172</v>
      </c>
      <c r="B13">
        <v>8</v>
      </c>
      <c r="E13">
        <f t="shared" si="0"/>
        <v>8</v>
      </c>
    </row>
    <row r="14" spans="1:5" x14ac:dyDescent="0.3">
      <c r="A14" s="2" t="s">
        <v>244</v>
      </c>
      <c r="C14">
        <v>1</v>
      </c>
      <c r="E14">
        <f t="shared" si="0"/>
        <v>1</v>
      </c>
    </row>
    <row r="15" spans="1:5" x14ac:dyDescent="0.3">
      <c r="A15" t="s">
        <v>17</v>
      </c>
      <c r="B15">
        <v>1</v>
      </c>
      <c r="E15">
        <f t="shared" si="0"/>
        <v>1</v>
      </c>
    </row>
    <row r="16" spans="1:5" hidden="1" x14ac:dyDescent="0.3">
      <c r="A16" s="2" t="s">
        <v>18</v>
      </c>
      <c r="E16">
        <f t="shared" si="0"/>
        <v>0</v>
      </c>
    </row>
    <row r="17" spans="1:5" x14ac:dyDescent="0.3">
      <c r="A17" t="s">
        <v>176</v>
      </c>
      <c r="B17">
        <v>8</v>
      </c>
      <c r="C17">
        <v>6</v>
      </c>
      <c r="E17">
        <f t="shared" si="0"/>
        <v>14</v>
      </c>
    </row>
    <row r="18" spans="1:5" x14ac:dyDescent="0.3">
      <c r="A18" t="s">
        <v>178</v>
      </c>
      <c r="B18">
        <v>1</v>
      </c>
      <c r="E18">
        <f t="shared" si="0"/>
        <v>1</v>
      </c>
    </row>
    <row r="19" spans="1:5" x14ac:dyDescent="0.3">
      <c r="A19" t="s">
        <v>185</v>
      </c>
      <c r="B19">
        <v>8</v>
      </c>
      <c r="E19">
        <f t="shared" si="0"/>
        <v>8</v>
      </c>
    </row>
    <row r="20" spans="1:5" x14ac:dyDescent="0.3">
      <c r="A20" t="s">
        <v>28</v>
      </c>
      <c r="B20">
        <v>2</v>
      </c>
      <c r="E20">
        <f t="shared" si="0"/>
        <v>2</v>
      </c>
    </row>
    <row r="21" spans="1:5" x14ac:dyDescent="0.3">
      <c r="A21" t="s">
        <v>29</v>
      </c>
      <c r="B21">
        <v>5</v>
      </c>
      <c r="E21">
        <f t="shared" si="0"/>
        <v>5</v>
      </c>
    </row>
    <row r="22" spans="1:5" x14ac:dyDescent="0.3">
      <c r="A22" t="s">
        <v>32</v>
      </c>
      <c r="C22">
        <v>1</v>
      </c>
      <c r="E22">
        <f t="shared" si="0"/>
        <v>1</v>
      </c>
    </row>
    <row r="23" spans="1:5" x14ac:dyDescent="0.3">
      <c r="A23" t="s">
        <v>196</v>
      </c>
      <c r="B23">
        <v>1</v>
      </c>
      <c r="E23">
        <f t="shared" si="0"/>
        <v>1</v>
      </c>
    </row>
    <row r="24" spans="1:5" x14ac:dyDescent="0.3">
      <c r="A24" t="s">
        <v>243</v>
      </c>
      <c r="B24">
        <v>1</v>
      </c>
      <c r="E24">
        <f t="shared" si="0"/>
        <v>1</v>
      </c>
    </row>
    <row r="25" spans="1:5" x14ac:dyDescent="0.3">
      <c r="A25" t="s">
        <v>34</v>
      </c>
      <c r="C25">
        <v>2</v>
      </c>
      <c r="E25">
        <f t="shared" si="0"/>
        <v>2</v>
      </c>
    </row>
    <row r="26" spans="1:5" hidden="1" x14ac:dyDescent="0.3">
      <c r="A26" t="s">
        <v>35</v>
      </c>
      <c r="D26">
        <v>1</v>
      </c>
      <c r="E26">
        <f t="shared" si="0"/>
        <v>0</v>
      </c>
    </row>
    <row r="27" spans="1:5" x14ac:dyDescent="0.3">
      <c r="A27" t="s">
        <v>205</v>
      </c>
      <c r="C27">
        <v>1</v>
      </c>
      <c r="E27">
        <f t="shared" si="0"/>
        <v>1</v>
      </c>
    </row>
    <row r="28" spans="1:5" x14ac:dyDescent="0.3">
      <c r="A28" t="s">
        <v>41</v>
      </c>
      <c r="C28">
        <v>2</v>
      </c>
      <c r="E28">
        <f t="shared" si="0"/>
        <v>2</v>
      </c>
    </row>
    <row r="29" spans="1:5" x14ac:dyDescent="0.3">
      <c r="A29" t="s">
        <v>206</v>
      </c>
      <c r="B29">
        <v>2</v>
      </c>
      <c r="E29">
        <f t="shared" si="0"/>
        <v>2</v>
      </c>
    </row>
    <row r="30" spans="1:5" x14ac:dyDescent="0.3">
      <c r="A30" t="s">
        <v>49</v>
      </c>
      <c r="C30">
        <v>4</v>
      </c>
      <c r="E30">
        <f t="shared" si="0"/>
        <v>4</v>
      </c>
    </row>
    <row r="31" spans="1:5" x14ac:dyDescent="0.3">
      <c r="A31" t="s">
        <v>51</v>
      </c>
      <c r="B31">
        <v>5</v>
      </c>
      <c r="C31">
        <v>2</v>
      </c>
      <c r="E31">
        <f t="shared" si="0"/>
        <v>7</v>
      </c>
    </row>
    <row r="32" spans="1:5" x14ac:dyDescent="0.3">
      <c r="A32" t="s">
        <v>52</v>
      </c>
      <c r="B32">
        <v>2</v>
      </c>
      <c r="E32">
        <f t="shared" si="0"/>
        <v>2</v>
      </c>
    </row>
    <row r="33" spans="1:5" x14ac:dyDescent="0.3">
      <c r="A33" t="s">
        <v>54</v>
      </c>
      <c r="B33">
        <v>1</v>
      </c>
      <c r="E33">
        <f t="shared" si="0"/>
        <v>1</v>
      </c>
    </row>
    <row r="34" spans="1:5" x14ac:dyDescent="0.3">
      <c r="A34" t="s">
        <v>211</v>
      </c>
      <c r="C34">
        <v>1</v>
      </c>
      <c r="E34">
        <f t="shared" si="0"/>
        <v>1</v>
      </c>
    </row>
    <row r="35" spans="1:5" x14ac:dyDescent="0.3">
      <c r="A35" t="s">
        <v>65</v>
      </c>
      <c r="B35">
        <v>1</v>
      </c>
      <c r="E35">
        <f t="shared" si="0"/>
        <v>1</v>
      </c>
    </row>
    <row r="36" spans="1:5" x14ac:dyDescent="0.3">
      <c r="A36" t="s">
        <v>218</v>
      </c>
      <c r="B36">
        <v>2</v>
      </c>
      <c r="E36">
        <f t="shared" si="0"/>
        <v>2</v>
      </c>
    </row>
    <row r="37" spans="1:5" x14ac:dyDescent="0.3">
      <c r="A37" t="s">
        <v>221</v>
      </c>
      <c r="B37">
        <v>2</v>
      </c>
      <c r="E37">
        <f t="shared" si="0"/>
        <v>2</v>
      </c>
    </row>
    <row r="38" spans="1:5" x14ac:dyDescent="0.3">
      <c r="A38" t="s">
        <v>75</v>
      </c>
      <c r="B38">
        <v>1</v>
      </c>
      <c r="E38">
        <f t="shared" si="0"/>
        <v>1</v>
      </c>
    </row>
    <row r="39" spans="1:5" x14ac:dyDescent="0.3">
      <c r="A39" t="s">
        <v>76</v>
      </c>
      <c r="B39">
        <v>4</v>
      </c>
      <c r="E39">
        <f t="shared" si="0"/>
        <v>4</v>
      </c>
    </row>
    <row r="40" spans="1:5" x14ac:dyDescent="0.3">
      <c r="A40" t="s">
        <v>78</v>
      </c>
      <c r="B40">
        <v>1</v>
      </c>
      <c r="E40">
        <f t="shared" si="0"/>
        <v>1</v>
      </c>
    </row>
    <row r="41" spans="1:5" x14ac:dyDescent="0.3">
      <c r="A41" t="s">
        <v>80</v>
      </c>
      <c r="B41">
        <v>2</v>
      </c>
      <c r="E41">
        <f t="shared" si="0"/>
        <v>2</v>
      </c>
    </row>
    <row r="42" spans="1:5" x14ac:dyDescent="0.3">
      <c r="A42" t="s">
        <v>245</v>
      </c>
      <c r="B42">
        <v>2</v>
      </c>
      <c r="E42">
        <f t="shared" si="0"/>
        <v>2</v>
      </c>
    </row>
    <row r="43" spans="1:5" x14ac:dyDescent="0.3">
      <c r="A43" t="s">
        <v>82</v>
      </c>
      <c r="B43">
        <v>2</v>
      </c>
      <c r="E43">
        <f t="shared" si="0"/>
        <v>2</v>
      </c>
    </row>
    <row r="44" spans="1:5" x14ac:dyDescent="0.3">
      <c r="A44" t="s">
        <v>88</v>
      </c>
      <c r="B44">
        <v>12</v>
      </c>
      <c r="E44">
        <f t="shared" si="0"/>
        <v>12</v>
      </c>
    </row>
    <row r="45" spans="1:5" x14ac:dyDescent="0.3">
      <c r="A45" t="s">
        <v>89</v>
      </c>
      <c r="B45">
        <v>5</v>
      </c>
      <c r="C45">
        <v>5</v>
      </c>
      <c r="E45">
        <f t="shared" si="0"/>
        <v>10</v>
      </c>
    </row>
    <row r="46" spans="1:5" x14ac:dyDescent="0.3">
      <c r="A46" t="s">
        <v>91</v>
      </c>
      <c r="B46">
        <v>2</v>
      </c>
      <c r="E46">
        <f t="shared" si="0"/>
        <v>2</v>
      </c>
    </row>
    <row r="47" spans="1:5" x14ac:dyDescent="0.3">
      <c r="A47" t="s">
        <v>92</v>
      </c>
      <c r="B47">
        <v>5</v>
      </c>
      <c r="E47">
        <f t="shared" si="0"/>
        <v>5</v>
      </c>
    </row>
    <row r="48" spans="1:5" x14ac:dyDescent="0.3">
      <c r="A48" t="s">
        <v>97</v>
      </c>
      <c r="B48">
        <v>2</v>
      </c>
      <c r="C48">
        <v>2</v>
      </c>
      <c r="E48">
        <f t="shared" si="0"/>
        <v>4</v>
      </c>
    </row>
    <row r="49" spans="1:5" x14ac:dyDescent="0.3">
      <c r="A49" t="s">
        <v>99</v>
      </c>
      <c r="B49">
        <v>1</v>
      </c>
      <c r="E49">
        <f t="shared" si="0"/>
        <v>1</v>
      </c>
    </row>
    <row r="50" spans="1:5" x14ac:dyDescent="0.3">
      <c r="A50" t="s">
        <v>100</v>
      </c>
      <c r="B50">
        <v>1</v>
      </c>
      <c r="C50">
        <v>2</v>
      </c>
      <c r="E50">
        <f t="shared" si="0"/>
        <v>3</v>
      </c>
    </row>
    <row r="51" spans="1:5" x14ac:dyDescent="0.3">
      <c r="A51" t="s">
        <v>104</v>
      </c>
      <c r="B51">
        <v>2</v>
      </c>
      <c r="E51">
        <f t="shared" si="0"/>
        <v>2</v>
      </c>
    </row>
    <row r="52" spans="1:5" x14ac:dyDescent="0.3">
      <c r="A52" t="s">
        <v>110</v>
      </c>
      <c r="B52">
        <v>3</v>
      </c>
      <c r="E52">
        <f t="shared" si="0"/>
        <v>3</v>
      </c>
    </row>
    <row r="53" spans="1:5" x14ac:dyDescent="0.3">
      <c r="A53" t="s">
        <v>111</v>
      </c>
      <c r="B53">
        <v>3</v>
      </c>
      <c r="E53">
        <f t="shared" si="0"/>
        <v>3</v>
      </c>
    </row>
    <row r="54" spans="1:5" x14ac:dyDescent="0.3">
      <c r="A54" t="s">
        <v>120</v>
      </c>
      <c r="C54">
        <v>1</v>
      </c>
      <c r="E54">
        <f t="shared" si="0"/>
        <v>1</v>
      </c>
    </row>
    <row r="55" spans="1:5" x14ac:dyDescent="0.3">
      <c r="A55" t="s">
        <v>246</v>
      </c>
      <c r="B55">
        <v>2</v>
      </c>
      <c r="E55">
        <f t="shared" si="0"/>
        <v>2</v>
      </c>
    </row>
    <row r="56" spans="1:5" x14ac:dyDescent="0.3">
      <c r="A56" t="s">
        <v>124</v>
      </c>
      <c r="B56">
        <v>3</v>
      </c>
      <c r="E56">
        <f t="shared" si="0"/>
        <v>3</v>
      </c>
    </row>
    <row r="57" spans="1:5" x14ac:dyDescent="0.3">
      <c r="A57" t="s">
        <v>125</v>
      </c>
      <c r="B57">
        <v>9</v>
      </c>
      <c r="E57">
        <f t="shared" si="0"/>
        <v>9</v>
      </c>
    </row>
    <row r="58" spans="1:5" x14ac:dyDescent="0.3">
      <c r="A58" t="s">
        <v>138</v>
      </c>
      <c r="C58">
        <v>1</v>
      </c>
      <c r="E58">
        <f t="shared" si="0"/>
        <v>1</v>
      </c>
    </row>
    <row r="59" spans="1:5" hidden="1" x14ac:dyDescent="0.3">
      <c r="A59" t="s">
        <v>143</v>
      </c>
      <c r="D59">
        <v>1</v>
      </c>
      <c r="E59">
        <f t="shared" si="0"/>
        <v>0</v>
      </c>
    </row>
    <row r="60" spans="1:5" x14ac:dyDescent="0.3">
      <c r="A60" t="s">
        <v>145</v>
      </c>
      <c r="C60">
        <v>2</v>
      </c>
      <c r="E60">
        <f t="shared" si="0"/>
        <v>2</v>
      </c>
    </row>
    <row r="61" spans="1:5" x14ac:dyDescent="0.3">
      <c r="A61" t="s">
        <v>148</v>
      </c>
      <c r="B61">
        <v>2</v>
      </c>
      <c r="E61">
        <f t="shared" si="0"/>
        <v>2</v>
      </c>
    </row>
    <row r="62" spans="1:5" x14ac:dyDescent="0.3">
      <c r="A62" t="s">
        <v>151</v>
      </c>
      <c r="B62">
        <v>2</v>
      </c>
      <c r="E62">
        <f t="shared" si="0"/>
        <v>2</v>
      </c>
    </row>
    <row r="63" spans="1:5" x14ac:dyDescent="0.3">
      <c r="A63" t="s">
        <v>158</v>
      </c>
      <c r="B63">
        <v>3</v>
      </c>
      <c r="E63">
        <f t="shared" si="0"/>
        <v>3</v>
      </c>
    </row>
    <row r="64" spans="1:5" x14ac:dyDescent="0.3">
      <c r="A64" s="3" t="s">
        <v>263</v>
      </c>
      <c r="E64">
        <f>COUNTIF(E2:E63, "&gt;0")</f>
        <v>57</v>
      </c>
    </row>
  </sheetData>
  <hyperlinks>
    <hyperlink ref="A2" r:id="rId1" display="https://ebird.org/species/thitin1" xr:uid="{00000000-0004-0000-0A00-000000000000}"/>
    <hyperlink ref="A13" r:id="rId2" display="https://ebird.org/species/grbani" xr:uid="{00000000-0004-0000-0A00-000001000000}"/>
    <hyperlink ref="A16" r:id="rId3" display="https://ebird.org/species/yebcuc" xr:uid="{00000000-0004-0000-0A00-000002000000}"/>
  </hyperlinks>
  <pageMargins left="0.7" right="0.7" top="0.75" bottom="0.75" header="0.3" footer="0.3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F8AC-5185-4E45-9004-692D0B246924}">
  <dimension ref="A1:D608"/>
  <sheetViews>
    <sheetView topLeftCell="A201" workbookViewId="0">
      <selection activeCell="B217" sqref="B217"/>
    </sheetView>
  </sheetViews>
  <sheetFormatPr defaultRowHeight="14.4" x14ac:dyDescent="0.3"/>
  <cols>
    <col min="1" max="1" width="32.88671875" style="13" customWidth="1"/>
    <col min="2" max="2" width="21.88671875" customWidth="1"/>
    <col min="3" max="3" width="24.33203125" customWidth="1"/>
    <col min="4" max="4" width="28.5546875" customWidth="1"/>
  </cols>
  <sheetData>
    <row r="1" spans="1:4" x14ac:dyDescent="0.3">
      <c r="A1" t="s">
        <v>314</v>
      </c>
      <c r="B1" t="s">
        <v>274</v>
      </c>
      <c r="C1" t="s">
        <v>315</v>
      </c>
      <c r="D1" t="s">
        <v>316</v>
      </c>
    </row>
    <row r="2" spans="1:4" x14ac:dyDescent="0.3">
      <c r="A2" s="7" t="s">
        <v>31</v>
      </c>
      <c r="B2" s="7" t="s">
        <v>24</v>
      </c>
      <c r="C2" t="str">
        <f>IF(COUNTIF(A2:A216, B2)=0, "Missing In Dry Forests", "")</f>
        <v/>
      </c>
      <c r="D2" t="str" cm="1">
        <f t="array" ref="D2:D7">_xlfn._xlws.FILTER(B2:B52, ISNA(MATCH(B2:B52, A2:A216, 0)))</f>
        <v>Busarellus nigricollis</v>
      </c>
    </row>
    <row r="3" spans="1:4" x14ac:dyDescent="0.3">
      <c r="A3" t="s">
        <v>180</v>
      </c>
      <c r="B3" s="7" t="s">
        <v>50</v>
      </c>
      <c r="C3" t="str">
        <f t="shared" ref="C3:C52" si="0">IF(COUNTIF(A3:A217, B3)=0, "Missing In Dry Forests", "")</f>
        <v/>
      </c>
      <c r="D3" t="str">
        <v>Chondrohierax uncinatus</v>
      </c>
    </row>
    <row r="4" spans="1:4" x14ac:dyDescent="0.3">
      <c r="A4" t="s">
        <v>187</v>
      </c>
      <c r="B4" s="7" t="s">
        <v>113</v>
      </c>
      <c r="C4" t="str">
        <f t="shared" si="0"/>
        <v/>
      </c>
      <c r="D4" t="str">
        <v>Hirundo rustica</v>
      </c>
    </row>
    <row r="5" spans="1:4" x14ac:dyDescent="0.3">
      <c r="A5" s="7" t="s">
        <v>122</v>
      </c>
      <c r="B5" t="s">
        <v>21</v>
      </c>
      <c r="C5" t="str">
        <f t="shared" si="0"/>
        <v/>
      </c>
      <c r="D5" t="str">
        <v>Petrochelidon fulva</v>
      </c>
    </row>
    <row r="6" spans="1:4" x14ac:dyDescent="0.3">
      <c r="A6" t="s">
        <v>178</v>
      </c>
      <c r="B6" t="s">
        <v>27</v>
      </c>
      <c r="C6" t="str">
        <f t="shared" si="0"/>
        <v/>
      </c>
      <c r="D6" t="str">
        <v>Spizaetus melanoleucus</v>
      </c>
    </row>
    <row r="7" spans="1:4" x14ac:dyDescent="0.3">
      <c r="A7" s="11" t="s">
        <v>25</v>
      </c>
      <c r="B7" t="s">
        <v>111</v>
      </c>
      <c r="C7" t="str">
        <f t="shared" si="0"/>
        <v/>
      </c>
      <c r="D7" t="str">
        <v>Troglodytes aedon</v>
      </c>
    </row>
    <row r="8" spans="1:4" x14ac:dyDescent="0.3">
      <c r="A8" t="s">
        <v>24</v>
      </c>
      <c r="B8" t="s">
        <v>266</v>
      </c>
      <c r="C8" t="str">
        <f t="shared" si="0"/>
        <v>Missing In Dry Forests</v>
      </c>
    </row>
    <row r="9" spans="1:4" x14ac:dyDescent="0.3">
      <c r="A9" s="7" t="s">
        <v>49</v>
      </c>
      <c r="B9" t="s">
        <v>243</v>
      </c>
      <c r="C9" t="str">
        <f t="shared" si="0"/>
        <v/>
      </c>
    </row>
    <row r="10" spans="1:4" x14ac:dyDescent="0.3">
      <c r="A10" s="7" t="s">
        <v>48</v>
      </c>
      <c r="B10" t="s">
        <v>66</v>
      </c>
      <c r="C10" t="str">
        <f t="shared" si="0"/>
        <v/>
      </c>
    </row>
    <row r="11" spans="1:4" x14ac:dyDescent="0.3">
      <c r="A11" s="7" t="s">
        <v>50</v>
      </c>
      <c r="B11" t="s">
        <v>145</v>
      </c>
      <c r="C11" t="str">
        <f t="shared" si="0"/>
        <v/>
      </c>
    </row>
    <row r="12" spans="1:4" x14ac:dyDescent="0.3">
      <c r="A12" s="7" t="s">
        <v>113</v>
      </c>
      <c r="B12" s="7" t="s">
        <v>202</v>
      </c>
      <c r="C12" t="str">
        <f t="shared" si="0"/>
        <v/>
      </c>
    </row>
    <row r="13" spans="1:4" x14ac:dyDescent="0.3">
      <c r="A13" s="7" t="s">
        <v>182</v>
      </c>
      <c r="B13" s="7" t="s">
        <v>192</v>
      </c>
      <c r="C13" t="str">
        <f t="shared" si="0"/>
        <v>Missing In Dry Forests</v>
      </c>
    </row>
    <row r="14" spans="1:4" x14ac:dyDescent="0.3">
      <c r="A14" s="7" t="s">
        <v>21</v>
      </c>
      <c r="B14" t="s">
        <v>170</v>
      </c>
      <c r="C14" t="str">
        <f t="shared" si="0"/>
        <v/>
      </c>
    </row>
    <row r="15" spans="1:4" x14ac:dyDescent="0.3">
      <c r="A15" s="7" t="s">
        <v>27</v>
      </c>
      <c r="B15" t="s">
        <v>68</v>
      </c>
      <c r="C15" t="str">
        <f t="shared" si="0"/>
        <v/>
      </c>
    </row>
    <row r="16" spans="1:4" x14ac:dyDescent="0.3">
      <c r="A16" s="7" t="s">
        <v>179</v>
      </c>
      <c r="B16" s="11" t="s">
        <v>172</v>
      </c>
      <c r="C16" t="str">
        <f t="shared" si="0"/>
        <v/>
      </c>
    </row>
    <row r="17" spans="1:3" x14ac:dyDescent="0.3">
      <c r="A17" s="11" t="s">
        <v>22</v>
      </c>
      <c r="B17" s="2" t="s">
        <v>4</v>
      </c>
      <c r="C17" t="str">
        <f t="shared" si="0"/>
        <v/>
      </c>
    </row>
    <row r="18" spans="1:3" x14ac:dyDescent="0.3">
      <c r="A18" t="s">
        <v>184</v>
      </c>
      <c r="B18" t="s">
        <v>148</v>
      </c>
      <c r="C18" t="str">
        <f t="shared" si="0"/>
        <v/>
      </c>
    </row>
    <row r="19" spans="1:3" x14ac:dyDescent="0.3">
      <c r="A19" t="s">
        <v>112</v>
      </c>
      <c r="B19" s="7" t="s">
        <v>124</v>
      </c>
      <c r="C19" t="str">
        <f t="shared" si="0"/>
        <v/>
      </c>
    </row>
    <row r="20" spans="1:3" x14ac:dyDescent="0.3">
      <c r="A20" t="s">
        <v>111</v>
      </c>
      <c r="B20" s="11" t="s">
        <v>16</v>
      </c>
      <c r="C20" t="str">
        <f t="shared" si="0"/>
        <v/>
      </c>
    </row>
    <row r="21" spans="1:3" x14ac:dyDescent="0.3">
      <c r="A21" s="7" t="s">
        <v>71</v>
      </c>
      <c r="B21" s="7" t="s">
        <v>108</v>
      </c>
      <c r="C21" t="str">
        <f t="shared" si="0"/>
        <v/>
      </c>
    </row>
    <row r="22" spans="1:3" x14ac:dyDescent="0.3">
      <c r="A22" s="7" t="s">
        <v>198</v>
      </c>
      <c r="B22" t="s">
        <v>130</v>
      </c>
      <c r="C22" t="str">
        <f t="shared" si="0"/>
        <v/>
      </c>
    </row>
    <row r="23" spans="1:3" x14ac:dyDescent="0.3">
      <c r="A23" s="7" t="s">
        <v>185</v>
      </c>
      <c r="B23" s="7" t="s">
        <v>34</v>
      </c>
      <c r="C23" t="str">
        <f t="shared" si="0"/>
        <v/>
      </c>
    </row>
    <row r="24" spans="1:3" x14ac:dyDescent="0.3">
      <c r="A24" s="7" t="s">
        <v>197</v>
      </c>
      <c r="B24" t="s">
        <v>208</v>
      </c>
      <c r="C24" t="str">
        <f t="shared" si="0"/>
        <v/>
      </c>
    </row>
    <row r="25" spans="1:3" x14ac:dyDescent="0.3">
      <c r="A25" t="s">
        <v>243</v>
      </c>
      <c r="B25" s="7" t="s">
        <v>93</v>
      </c>
      <c r="C25" t="str">
        <f t="shared" si="0"/>
        <v>Missing In Dry Forests</v>
      </c>
    </row>
    <row r="26" spans="1:3" x14ac:dyDescent="0.3">
      <c r="A26" s="7" t="s">
        <v>196</v>
      </c>
      <c r="B26" s="7" t="s">
        <v>115</v>
      </c>
      <c r="C26" t="str">
        <f t="shared" si="0"/>
        <v/>
      </c>
    </row>
    <row r="27" spans="1:3" x14ac:dyDescent="0.3">
      <c r="A27" t="s">
        <v>195</v>
      </c>
      <c r="B27" t="s">
        <v>14</v>
      </c>
      <c r="C27" t="str">
        <f t="shared" si="0"/>
        <v/>
      </c>
    </row>
    <row r="28" spans="1:3" x14ac:dyDescent="0.3">
      <c r="A28" s="7" t="s">
        <v>186</v>
      </c>
      <c r="B28" s="7" t="s">
        <v>13</v>
      </c>
      <c r="C28" t="str">
        <f t="shared" si="0"/>
        <v/>
      </c>
    </row>
    <row r="29" spans="1:3" x14ac:dyDescent="0.3">
      <c r="A29" t="s">
        <v>5</v>
      </c>
      <c r="B29" s="7" t="s">
        <v>33</v>
      </c>
      <c r="C29" t="str">
        <f t="shared" si="0"/>
        <v/>
      </c>
    </row>
    <row r="30" spans="1:3" x14ac:dyDescent="0.3">
      <c r="A30" t="s">
        <v>43</v>
      </c>
      <c r="B30" s="7" t="s">
        <v>205</v>
      </c>
      <c r="C30" t="str">
        <f t="shared" si="0"/>
        <v/>
      </c>
    </row>
    <row r="31" spans="1:3" x14ac:dyDescent="0.3">
      <c r="A31" t="s">
        <v>66</v>
      </c>
      <c r="B31" s="7" t="s">
        <v>102</v>
      </c>
      <c r="C31" t="str">
        <f t="shared" si="0"/>
        <v/>
      </c>
    </row>
    <row r="32" spans="1:3" x14ac:dyDescent="0.3">
      <c r="A32" t="s">
        <v>145</v>
      </c>
      <c r="B32" s="7" t="s">
        <v>104</v>
      </c>
      <c r="C32" t="str">
        <f t="shared" si="0"/>
        <v/>
      </c>
    </row>
    <row r="33" spans="1:3" x14ac:dyDescent="0.3">
      <c r="A33" s="7" t="s">
        <v>29</v>
      </c>
      <c r="B33" t="s">
        <v>128</v>
      </c>
      <c r="C33" t="str">
        <f t="shared" si="0"/>
        <v/>
      </c>
    </row>
    <row r="34" spans="1:3" x14ac:dyDescent="0.3">
      <c r="A34" s="7" t="s">
        <v>105</v>
      </c>
      <c r="B34" s="7" t="s">
        <v>72</v>
      </c>
      <c r="C34" t="str">
        <f t="shared" si="0"/>
        <v/>
      </c>
    </row>
    <row r="35" spans="1:3" x14ac:dyDescent="0.3">
      <c r="A35" t="s">
        <v>45</v>
      </c>
      <c r="B35" s="7" t="s">
        <v>19</v>
      </c>
      <c r="C35" t="str">
        <f t="shared" si="0"/>
        <v/>
      </c>
    </row>
    <row r="36" spans="1:3" x14ac:dyDescent="0.3">
      <c r="A36" s="7" t="s">
        <v>59</v>
      </c>
      <c r="B36" t="s">
        <v>84</v>
      </c>
      <c r="C36" t="str">
        <f t="shared" si="0"/>
        <v/>
      </c>
    </row>
    <row r="37" spans="1:3" x14ac:dyDescent="0.3">
      <c r="A37" s="7" t="s">
        <v>176</v>
      </c>
      <c r="B37" t="s">
        <v>94</v>
      </c>
      <c r="C37" t="str">
        <f t="shared" si="0"/>
        <v>Missing In Dry Forests</v>
      </c>
    </row>
    <row r="38" spans="1:3" x14ac:dyDescent="0.3">
      <c r="A38" t="s">
        <v>26</v>
      </c>
      <c r="B38" s="7" t="s">
        <v>141</v>
      </c>
      <c r="C38" t="str">
        <f t="shared" si="0"/>
        <v/>
      </c>
    </row>
    <row r="39" spans="1:3" x14ac:dyDescent="0.3">
      <c r="A39" s="7" t="s">
        <v>202</v>
      </c>
      <c r="B39" s="8" t="s">
        <v>62</v>
      </c>
      <c r="C39" t="str">
        <f t="shared" si="0"/>
        <v/>
      </c>
    </row>
    <row r="40" spans="1:3" x14ac:dyDescent="0.3">
      <c r="A40" t="s">
        <v>203</v>
      </c>
      <c r="B40" s="7" t="s">
        <v>96</v>
      </c>
      <c r="C40" t="str">
        <f t="shared" si="0"/>
        <v/>
      </c>
    </row>
    <row r="41" spans="1:3" x14ac:dyDescent="0.3">
      <c r="A41" t="s">
        <v>174</v>
      </c>
      <c r="B41" t="s">
        <v>89</v>
      </c>
      <c r="C41" t="str">
        <f t="shared" si="0"/>
        <v/>
      </c>
    </row>
    <row r="42" spans="1:3" x14ac:dyDescent="0.3">
      <c r="A42" s="7" t="s">
        <v>12</v>
      </c>
      <c r="B42" s="7" t="s">
        <v>125</v>
      </c>
      <c r="C42" t="str">
        <f t="shared" si="0"/>
        <v/>
      </c>
    </row>
    <row r="43" spans="1:3" x14ac:dyDescent="0.3">
      <c r="A43" s="11" t="s">
        <v>18</v>
      </c>
      <c r="B43" t="s">
        <v>95</v>
      </c>
      <c r="C43" t="str">
        <f t="shared" si="0"/>
        <v/>
      </c>
    </row>
    <row r="44" spans="1:3" x14ac:dyDescent="0.3">
      <c r="A44" s="11" t="s">
        <v>190</v>
      </c>
      <c r="B44" s="7" t="s">
        <v>135</v>
      </c>
      <c r="C44" t="str">
        <f t="shared" si="0"/>
        <v/>
      </c>
    </row>
    <row r="45" spans="1:3" x14ac:dyDescent="0.3">
      <c r="A45" s="7" t="s">
        <v>207</v>
      </c>
      <c r="B45" t="s">
        <v>110</v>
      </c>
      <c r="C45" t="str">
        <f t="shared" si="0"/>
        <v/>
      </c>
    </row>
    <row r="46" spans="1:3" x14ac:dyDescent="0.3">
      <c r="A46" t="s">
        <v>163</v>
      </c>
      <c r="B46" s="7" t="s">
        <v>239</v>
      </c>
      <c r="C46" t="str">
        <f t="shared" si="0"/>
        <v>Missing In Dry Forests</v>
      </c>
    </row>
    <row r="47" spans="1:3" x14ac:dyDescent="0.3">
      <c r="A47" s="7" t="s">
        <v>169</v>
      </c>
      <c r="B47" t="s">
        <v>35</v>
      </c>
      <c r="C47" t="str">
        <f t="shared" si="0"/>
        <v/>
      </c>
    </row>
    <row r="48" spans="1:3" x14ac:dyDescent="0.3">
      <c r="A48" s="7" t="s">
        <v>168</v>
      </c>
      <c r="B48" t="s">
        <v>52</v>
      </c>
      <c r="C48" t="str">
        <f t="shared" si="0"/>
        <v/>
      </c>
    </row>
    <row r="49" spans="1:3" x14ac:dyDescent="0.3">
      <c r="A49" s="7" t="s">
        <v>170</v>
      </c>
      <c r="B49" t="s">
        <v>65</v>
      </c>
      <c r="C49" t="str">
        <f t="shared" si="0"/>
        <v/>
      </c>
    </row>
    <row r="50" spans="1:3" x14ac:dyDescent="0.3">
      <c r="A50" s="7" t="s">
        <v>69</v>
      </c>
      <c r="B50" t="s">
        <v>98</v>
      </c>
      <c r="C50" t="str">
        <f t="shared" si="0"/>
        <v>Missing In Dry Forests</v>
      </c>
    </row>
    <row r="51" spans="1:3" x14ac:dyDescent="0.3">
      <c r="A51" s="7" t="s">
        <v>68</v>
      </c>
      <c r="B51" s="7" t="s">
        <v>79</v>
      </c>
      <c r="C51" t="str">
        <f t="shared" si="0"/>
        <v/>
      </c>
    </row>
    <row r="52" spans="1:3" x14ac:dyDescent="0.3">
      <c r="A52" t="s">
        <v>28</v>
      </c>
      <c r="B52" t="s">
        <v>88</v>
      </c>
      <c r="C52" t="str">
        <f t="shared" si="0"/>
        <v/>
      </c>
    </row>
    <row r="53" spans="1:3" x14ac:dyDescent="0.3">
      <c r="A53" s="7" t="s">
        <v>8</v>
      </c>
    </row>
    <row r="54" spans="1:3" x14ac:dyDescent="0.3">
      <c r="A54" s="2" t="s">
        <v>172</v>
      </c>
    </row>
    <row r="55" spans="1:3" x14ac:dyDescent="0.3">
      <c r="A55" s="11" t="s">
        <v>4</v>
      </c>
    </row>
    <row r="56" spans="1:3" x14ac:dyDescent="0.3">
      <c r="A56" s="7" t="s">
        <v>154</v>
      </c>
    </row>
    <row r="57" spans="1:3" x14ac:dyDescent="0.3">
      <c r="A57" s="7" t="s">
        <v>148</v>
      </c>
    </row>
    <row r="58" spans="1:3" x14ac:dyDescent="0.3">
      <c r="A58" s="8" t="s">
        <v>90</v>
      </c>
    </row>
    <row r="59" spans="1:3" x14ac:dyDescent="0.3">
      <c r="A59" s="7" t="s">
        <v>91</v>
      </c>
    </row>
    <row r="60" spans="1:3" x14ac:dyDescent="0.3">
      <c r="A60" t="s">
        <v>82</v>
      </c>
    </row>
    <row r="61" spans="1:3" x14ac:dyDescent="0.3">
      <c r="A61" t="s">
        <v>23</v>
      </c>
    </row>
    <row r="62" spans="1:3" x14ac:dyDescent="0.3">
      <c r="A62" t="s">
        <v>164</v>
      </c>
    </row>
    <row r="63" spans="1:3" x14ac:dyDescent="0.3">
      <c r="A63" t="s">
        <v>56</v>
      </c>
    </row>
    <row r="64" spans="1:3" x14ac:dyDescent="0.3">
      <c r="A64" t="s">
        <v>55</v>
      </c>
    </row>
    <row r="65" spans="1:2" x14ac:dyDescent="0.3">
      <c r="A65" s="7" t="s">
        <v>57</v>
      </c>
    </row>
    <row r="66" spans="1:2" x14ac:dyDescent="0.3">
      <c r="A66" t="s">
        <v>161</v>
      </c>
    </row>
    <row r="67" spans="1:2" x14ac:dyDescent="0.3">
      <c r="A67" s="7" t="s">
        <v>124</v>
      </c>
    </row>
    <row r="68" spans="1:2" x14ac:dyDescent="0.3">
      <c r="A68" s="11" t="s">
        <v>16</v>
      </c>
    </row>
    <row r="69" spans="1:2" x14ac:dyDescent="0.3">
      <c r="A69" s="7" t="s">
        <v>42</v>
      </c>
    </row>
    <row r="70" spans="1:2" x14ac:dyDescent="0.3">
      <c r="A70" t="s">
        <v>206</v>
      </c>
    </row>
    <row r="71" spans="1:2" x14ac:dyDescent="0.3">
      <c r="A71" s="7" t="s">
        <v>44</v>
      </c>
    </row>
    <row r="72" spans="1:2" x14ac:dyDescent="0.3">
      <c r="A72" t="s">
        <v>103</v>
      </c>
      <c r="B72" s="16"/>
    </row>
    <row r="73" spans="1:2" x14ac:dyDescent="0.3">
      <c r="A73" s="7" t="s">
        <v>218</v>
      </c>
    </row>
    <row r="74" spans="1:2" x14ac:dyDescent="0.3">
      <c r="A74" t="s">
        <v>219</v>
      </c>
    </row>
    <row r="75" spans="1:2" x14ac:dyDescent="0.3">
      <c r="A75" t="s">
        <v>70</v>
      </c>
      <c r="B75" s="2"/>
    </row>
    <row r="76" spans="1:2" x14ac:dyDescent="0.3">
      <c r="A76" s="7" t="s">
        <v>220</v>
      </c>
    </row>
    <row r="77" spans="1:2" x14ac:dyDescent="0.3">
      <c r="A77" s="7" t="s">
        <v>152</v>
      </c>
      <c r="B77" s="2"/>
    </row>
    <row r="78" spans="1:2" x14ac:dyDescent="0.3">
      <c r="A78" t="s">
        <v>200</v>
      </c>
    </row>
    <row r="79" spans="1:2" x14ac:dyDescent="0.3">
      <c r="A79" s="7" t="s">
        <v>108</v>
      </c>
    </row>
    <row r="80" spans="1:2" x14ac:dyDescent="0.3">
      <c r="A80" s="7" t="s">
        <v>109</v>
      </c>
    </row>
    <row r="81" spans="1:1" x14ac:dyDescent="0.3">
      <c r="A81" t="s">
        <v>51</v>
      </c>
    </row>
    <row r="82" spans="1:1" x14ac:dyDescent="0.3">
      <c r="A82" t="s">
        <v>53</v>
      </c>
    </row>
    <row r="83" spans="1:1" x14ac:dyDescent="0.3">
      <c r="A83" s="11" t="s">
        <v>244</v>
      </c>
    </row>
    <row r="84" spans="1:1" x14ac:dyDescent="0.3">
      <c r="A84" t="s">
        <v>131</v>
      </c>
    </row>
    <row r="85" spans="1:1" x14ac:dyDescent="0.3">
      <c r="A85" t="s">
        <v>130</v>
      </c>
    </row>
    <row r="86" spans="1:1" x14ac:dyDescent="0.3">
      <c r="A86" s="7" t="s">
        <v>132</v>
      </c>
    </row>
    <row r="87" spans="1:1" x14ac:dyDescent="0.3">
      <c r="A87" s="7" t="s">
        <v>34</v>
      </c>
    </row>
    <row r="88" spans="1:1" x14ac:dyDescent="0.3">
      <c r="A88" s="7" t="s">
        <v>147</v>
      </c>
    </row>
    <row r="89" spans="1:1" x14ac:dyDescent="0.3">
      <c r="A89" s="7" t="s">
        <v>144</v>
      </c>
    </row>
    <row r="90" spans="1:1" x14ac:dyDescent="0.3">
      <c r="A90" t="s">
        <v>143</v>
      </c>
    </row>
    <row r="91" spans="1:1" x14ac:dyDescent="0.3">
      <c r="A91" t="s">
        <v>208</v>
      </c>
    </row>
    <row r="92" spans="1:1" x14ac:dyDescent="0.3">
      <c r="A92" t="s">
        <v>106</v>
      </c>
    </row>
    <row r="93" spans="1:1" x14ac:dyDescent="0.3">
      <c r="A93" s="7" t="s">
        <v>120</v>
      </c>
    </row>
    <row r="94" spans="1:1" x14ac:dyDescent="0.3">
      <c r="A94" t="s">
        <v>118</v>
      </c>
    </row>
    <row r="95" spans="1:1" x14ac:dyDescent="0.3">
      <c r="A95" s="7" t="s">
        <v>121</v>
      </c>
    </row>
    <row r="96" spans="1:1" x14ac:dyDescent="0.3">
      <c r="A96" t="s">
        <v>246</v>
      </c>
    </row>
    <row r="97" spans="1:2" x14ac:dyDescent="0.3">
      <c r="A97" t="s">
        <v>115</v>
      </c>
    </row>
    <row r="98" spans="1:2" x14ac:dyDescent="0.3">
      <c r="A98" s="7" t="s">
        <v>116</v>
      </c>
    </row>
    <row r="99" spans="1:2" x14ac:dyDescent="0.3">
      <c r="A99" t="s">
        <v>194</v>
      </c>
    </row>
    <row r="100" spans="1:2" x14ac:dyDescent="0.3">
      <c r="A100" s="7" t="s">
        <v>78</v>
      </c>
    </row>
    <row r="101" spans="1:2" x14ac:dyDescent="0.3">
      <c r="A101" s="7" t="s">
        <v>129</v>
      </c>
    </row>
    <row r="102" spans="1:2" x14ac:dyDescent="0.3">
      <c r="A102" t="s">
        <v>193</v>
      </c>
    </row>
    <row r="103" spans="1:2" x14ac:dyDescent="0.3">
      <c r="A103" t="s">
        <v>215</v>
      </c>
      <c r="B103" s="2"/>
    </row>
    <row r="104" spans="1:2" x14ac:dyDescent="0.3">
      <c r="A104" s="14" t="s">
        <v>14</v>
      </c>
    </row>
    <row r="105" spans="1:2" x14ac:dyDescent="0.3">
      <c r="A105" s="2" t="s">
        <v>15</v>
      </c>
    </row>
    <row r="106" spans="1:2" x14ac:dyDescent="0.3">
      <c r="A106" t="s">
        <v>13</v>
      </c>
    </row>
    <row r="107" spans="1:2" x14ac:dyDescent="0.3">
      <c r="A107" t="s">
        <v>201</v>
      </c>
    </row>
    <row r="108" spans="1:2" x14ac:dyDescent="0.3">
      <c r="A108" s="7" t="s">
        <v>75</v>
      </c>
    </row>
    <row r="109" spans="1:2" x14ac:dyDescent="0.3">
      <c r="A109" t="s">
        <v>33</v>
      </c>
    </row>
    <row r="110" spans="1:2" x14ac:dyDescent="0.3">
      <c r="A110" s="7" t="s">
        <v>41</v>
      </c>
    </row>
    <row r="111" spans="1:2" x14ac:dyDescent="0.3">
      <c r="A111" t="s">
        <v>205</v>
      </c>
    </row>
    <row r="112" spans="1:2" x14ac:dyDescent="0.3">
      <c r="A112" s="7" t="s">
        <v>102</v>
      </c>
    </row>
    <row r="113" spans="1:1" x14ac:dyDescent="0.3">
      <c r="A113" t="s">
        <v>9</v>
      </c>
    </row>
    <row r="114" spans="1:1" x14ac:dyDescent="0.3">
      <c r="A114" s="7" t="s">
        <v>46</v>
      </c>
    </row>
    <row r="115" spans="1:1" x14ac:dyDescent="0.3">
      <c r="A115" t="s">
        <v>104</v>
      </c>
    </row>
    <row r="116" spans="1:1" x14ac:dyDescent="0.3">
      <c r="A116" s="10" t="s">
        <v>214</v>
      </c>
    </row>
    <row r="117" spans="1:1" x14ac:dyDescent="0.3">
      <c r="A117" s="7" t="s">
        <v>128</v>
      </c>
    </row>
    <row r="118" spans="1:1" x14ac:dyDescent="0.3">
      <c r="A118" t="s">
        <v>123</v>
      </c>
    </row>
    <row r="119" spans="1:1" x14ac:dyDescent="0.3">
      <c r="A119" t="s">
        <v>199</v>
      </c>
    </row>
    <row r="120" spans="1:1" x14ac:dyDescent="0.3">
      <c r="A120" t="s">
        <v>181</v>
      </c>
    </row>
    <row r="121" spans="1:1" x14ac:dyDescent="0.3">
      <c r="A121" t="s">
        <v>73</v>
      </c>
    </row>
    <row r="122" spans="1:1" x14ac:dyDescent="0.3">
      <c r="A122" t="s">
        <v>221</v>
      </c>
    </row>
    <row r="123" spans="1:1" x14ac:dyDescent="0.3">
      <c r="A123" s="7" t="s">
        <v>74</v>
      </c>
    </row>
    <row r="124" spans="1:1" x14ac:dyDescent="0.3">
      <c r="A124" t="s">
        <v>72</v>
      </c>
    </row>
    <row r="125" spans="1:1" x14ac:dyDescent="0.3">
      <c r="A125" t="s">
        <v>77</v>
      </c>
    </row>
    <row r="126" spans="1:1" x14ac:dyDescent="0.3">
      <c r="A126" t="s">
        <v>67</v>
      </c>
    </row>
    <row r="127" spans="1:1" x14ac:dyDescent="0.3">
      <c r="A127" t="s">
        <v>76</v>
      </c>
    </row>
    <row r="128" spans="1:1" x14ac:dyDescent="0.3">
      <c r="A128" s="7" t="s">
        <v>204</v>
      </c>
    </row>
    <row r="129" spans="1:2" x14ac:dyDescent="0.3">
      <c r="A129" t="s">
        <v>175</v>
      </c>
    </row>
    <row r="130" spans="1:2" x14ac:dyDescent="0.3">
      <c r="A130" s="11" t="s">
        <v>188</v>
      </c>
    </row>
    <row r="131" spans="1:2" x14ac:dyDescent="0.3">
      <c r="A131" s="7" t="s">
        <v>19</v>
      </c>
    </row>
    <row r="132" spans="1:2" x14ac:dyDescent="0.3">
      <c r="A132" t="s">
        <v>20</v>
      </c>
    </row>
    <row r="133" spans="1:2" x14ac:dyDescent="0.3">
      <c r="A133" s="2" t="s">
        <v>189</v>
      </c>
    </row>
    <row r="134" spans="1:2" x14ac:dyDescent="0.3">
      <c r="A134" s="7" t="s">
        <v>63</v>
      </c>
    </row>
    <row r="135" spans="1:2" x14ac:dyDescent="0.3">
      <c r="A135" s="7" t="s">
        <v>61</v>
      </c>
      <c r="B135" s="2"/>
    </row>
    <row r="136" spans="1:2" x14ac:dyDescent="0.3">
      <c r="A136" s="7" t="s">
        <v>6</v>
      </c>
    </row>
    <row r="137" spans="1:2" x14ac:dyDescent="0.3">
      <c r="A137" s="7" t="s">
        <v>60</v>
      </c>
    </row>
    <row r="138" spans="1:2" x14ac:dyDescent="0.3">
      <c r="A138" t="s">
        <v>213</v>
      </c>
      <c r="B138" s="2"/>
    </row>
    <row r="139" spans="1:2" x14ac:dyDescent="0.3">
      <c r="A139" t="s">
        <v>84</v>
      </c>
    </row>
    <row r="140" spans="1:2" x14ac:dyDescent="0.3">
      <c r="A140" t="s">
        <v>177</v>
      </c>
    </row>
    <row r="141" spans="1:2" x14ac:dyDescent="0.3">
      <c r="A141" t="s">
        <v>127</v>
      </c>
    </row>
    <row r="142" spans="1:2" x14ac:dyDescent="0.3">
      <c r="A142" t="s">
        <v>149</v>
      </c>
    </row>
    <row r="143" spans="1:2" x14ac:dyDescent="0.3">
      <c r="A143" s="7" t="s">
        <v>150</v>
      </c>
    </row>
    <row r="144" spans="1:2" x14ac:dyDescent="0.3">
      <c r="A144" s="7" t="s">
        <v>11</v>
      </c>
    </row>
    <row r="145" spans="1:1" x14ac:dyDescent="0.3">
      <c r="A145" s="7" t="s">
        <v>10</v>
      </c>
    </row>
    <row r="146" spans="1:1" x14ac:dyDescent="0.3">
      <c r="A146" t="s">
        <v>7</v>
      </c>
    </row>
    <row r="147" spans="1:1" x14ac:dyDescent="0.3">
      <c r="A147" s="7" t="s">
        <v>146</v>
      </c>
    </row>
    <row r="148" spans="1:1" x14ac:dyDescent="0.3">
      <c r="A148" s="7" t="s">
        <v>100</v>
      </c>
    </row>
    <row r="149" spans="1:1" x14ac:dyDescent="0.3">
      <c r="A149" t="s">
        <v>17</v>
      </c>
    </row>
    <row r="150" spans="1:1" x14ac:dyDescent="0.3">
      <c r="A150" t="s">
        <v>47</v>
      </c>
    </row>
    <row r="151" spans="1:1" x14ac:dyDescent="0.3">
      <c r="A151" t="s">
        <v>141</v>
      </c>
    </row>
    <row r="152" spans="1:1" x14ac:dyDescent="0.3">
      <c r="A152" t="s">
        <v>142</v>
      </c>
    </row>
    <row r="153" spans="1:1" x14ac:dyDescent="0.3">
      <c r="A153" s="7" t="s">
        <v>222</v>
      </c>
    </row>
    <row r="154" spans="1:1" x14ac:dyDescent="0.3">
      <c r="A154" s="7" t="s">
        <v>62</v>
      </c>
    </row>
    <row r="155" spans="1:1" x14ac:dyDescent="0.3">
      <c r="A155" s="7" t="s">
        <v>216</v>
      </c>
    </row>
    <row r="156" spans="1:1" x14ac:dyDescent="0.3">
      <c r="A156" s="7" t="s">
        <v>96</v>
      </c>
    </row>
    <row r="157" spans="1:1" x14ac:dyDescent="0.3">
      <c r="A157" s="7" t="s">
        <v>97</v>
      </c>
    </row>
    <row r="158" spans="1:1" x14ac:dyDescent="0.3">
      <c r="A158" t="s">
        <v>92</v>
      </c>
    </row>
    <row r="159" spans="1:1" x14ac:dyDescent="0.3">
      <c r="A159" t="s">
        <v>114</v>
      </c>
    </row>
    <row r="160" spans="1:1" x14ac:dyDescent="0.3">
      <c r="A160" t="s">
        <v>89</v>
      </c>
    </row>
    <row r="161" spans="1:1" x14ac:dyDescent="0.3">
      <c r="A161" t="s">
        <v>39</v>
      </c>
    </row>
    <row r="162" spans="1:1" x14ac:dyDescent="0.3">
      <c r="A162" t="s">
        <v>125</v>
      </c>
    </row>
    <row r="163" spans="1:1" x14ac:dyDescent="0.3">
      <c r="A163" s="7" t="s">
        <v>40</v>
      </c>
    </row>
    <row r="164" spans="1:1" x14ac:dyDescent="0.3">
      <c r="A164" s="7" t="s">
        <v>95</v>
      </c>
    </row>
    <row r="165" spans="1:1" x14ac:dyDescent="0.3">
      <c r="A165" s="7" t="s">
        <v>64</v>
      </c>
    </row>
    <row r="166" spans="1:1" x14ac:dyDescent="0.3">
      <c r="A166" t="s">
        <v>32</v>
      </c>
    </row>
    <row r="167" spans="1:1" x14ac:dyDescent="0.3">
      <c r="A167" s="7" t="s">
        <v>158</v>
      </c>
    </row>
    <row r="168" spans="1:1" x14ac:dyDescent="0.3">
      <c r="A168" t="s">
        <v>159</v>
      </c>
    </row>
    <row r="169" spans="1:1" x14ac:dyDescent="0.3">
      <c r="A169" s="7" t="s">
        <v>191</v>
      </c>
    </row>
    <row r="170" spans="1:1" x14ac:dyDescent="0.3">
      <c r="A170" s="8" t="s">
        <v>212</v>
      </c>
    </row>
    <row r="171" spans="1:1" x14ac:dyDescent="0.3">
      <c r="A171" s="7" t="s">
        <v>126</v>
      </c>
    </row>
    <row r="172" spans="1:1" x14ac:dyDescent="0.3">
      <c r="A172" s="7" t="s">
        <v>136</v>
      </c>
    </row>
    <row r="173" spans="1:1" x14ac:dyDescent="0.3">
      <c r="A173" t="s">
        <v>134</v>
      </c>
    </row>
    <row r="174" spans="1:1" x14ac:dyDescent="0.3">
      <c r="A174" t="s">
        <v>137</v>
      </c>
    </row>
    <row r="175" spans="1:1" x14ac:dyDescent="0.3">
      <c r="A175" s="7" t="s">
        <v>135</v>
      </c>
    </row>
    <row r="176" spans="1:1" x14ac:dyDescent="0.3">
      <c r="A176" t="s">
        <v>139</v>
      </c>
    </row>
    <row r="177" spans="1:1" x14ac:dyDescent="0.3">
      <c r="A177" s="7" t="s">
        <v>138</v>
      </c>
    </row>
    <row r="178" spans="1:1" x14ac:dyDescent="0.3">
      <c r="A178" s="7" t="s">
        <v>133</v>
      </c>
    </row>
    <row r="179" spans="1:1" x14ac:dyDescent="0.3">
      <c r="A179" t="s">
        <v>54</v>
      </c>
    </row>
    <row r="180" spans="1:1" x14ac:dyDescent="0.3">
      <c r="A180" s="7" t="s">
        <v>110</v>
      </c>
    </row>
    <row r="181" spans="1:1" x14ac:dyDescent="0.3">
      <c r="A181" t="s">
        <v>151</v>
      </c>
    </row>
    <row r="182" spans="1:1" x14ac:dyDescent="0.3">
      <c r="A182" s="7" t="s">
        <v>30</v>
      </c>
    </row>
    <row r="183" spans="1:1" x14ac:dyDescent="0.3">
      <c r="A183" t="s">
        <v>156</v>
      </c>
    </row>
    <row r="184" spans="1:1" x14ac:dyDescent="0.3">
      <c r="A184" t="s">
        <v>167</v>
      </c>
    </row>
    <row r="185" spans="1:1" x14ac:dyDescent="0.3">
      <c r="A185" t="s">
        <v>35</v>
      </c>
    </row>
    <row r="186" spans="1:1" x14ac:dyDescent="0.3">
      <c r="A186" s="7" t="s">
        <v>210</v>
      </c>
    </row>
    <row r="187" spans="1:1" x14ac:dyDescent="0.3">
      <c r="A187" s="7" t="s">
        <v>165</v>
      </c>
    </row>
    <row r="188" spans="1:1" x14ac:dyDescent="0.3">
      <c r="A188" s="15" t="s">
        <v>173</v>
      </c>
    </row>
    <row r="189" spans="1:1" x14ac:dyDescent="0.3">
      <c r="A189" s="7" t="s">
        <v>52</v>
      </c>
    </row>
    <row r="190" spans="1:1" x14ac:dyDescent="0.3">
      <c r="A190" s="7" t="s">
        <v>153</v>
      </c>
    </row>
    <row r="191" spans="1:1" x14ac:dyDescent="0.3">
      <c r="A191" t="s">
        <v>99</v>
      </c>
    </row>
    <row r="192" spans="1:1" x14ac:dyDescent="0.3">
      <c r="A192" t="s">
        <v>157</v>
      </c>
    </row>
    <row r="193" spans="1:2" x14ac:dyDescent="0.3">
      <c r="A193" t="s">
        <v>183</v>
      </c>
    </row>
    <row r="194" spans="1:2" x14ac:dyDescent="0.3">
      <c r="A194" s="7" t="s">
        <v>160</v>
      </c>
    </row>
    <row r="195" spans="1:2" x14ac:dyDescent="0.3">
      <c r="A195" s="7" t="s">
        <v>211</v>
      </c>
    </row>
    <row r="196" spans="1:2" x14ac:dyDescent="0.3">
      <c r="A196" t="s">
        <v>217</v>
      </c>
      <c r="B196" s="2"/>
    </row>
    <row r="197" spans="1:2" x14ac:dyDescent="0.3">
      <c r="A197" t="s">
        <v>65</v>
      </c>
    </row>
    <row r="198" spans="1:2" x14ac:dyDescent="0.3">
      <c r="A198" s="7" t="s">
        <v>37</v>
      </c>
    </row>
    <row r="199" spans="1:2" x14ac:dyDescent="0.3">
      <c r="A199" s="7" t="s">
        <v>38</v>
      </c>
    </row>
    <row r="200" spans="1:2" x14ac:dyDescent="0.3">
      <c r="A200" t="s">
        <v>36</v>
      </c>
    </row>
    <row r="201" spans="1:2" x14ac:dyDescent="0.3">
      <c r="A201" t="s">
        <v>83</v>
      </c>
    </row>
    <row r="202" spans="1:2" x14ac:dyDescent="0.3">
      <c r="A202" s="7" t="s">
        <v>107</v>
      </c>
    </row>
    <row r="203" spans="1:2" x14ac:dyDescent="0.3">
      <c r="A203" t="s">
        <v>80</v>
      </c>
    </row>
    <row r="204" spans="1:2" x14ac:dyDescent="0.3">
      <c r="A204" s="7" t="s">
        <v>79</v>
      </c>
    </row>
    <row r="205" spans="1:2" x14ac:dyDescent="0.3">
      <c r="A205" s="7" t="s">
        <v>245</v>
      </c>
    </row>
    <row r="206" spans="1:2" x14ac:dyDescent="0.3">
      <c r="A206" t="s">
        <v>81</v>
      </c>
    </row>
    <row r="207" spans="1:2" x14ac:dyDescent="0.3">
      <c r="A207" s="7" t="s">
        <v>101</v>
      </c>
    </row>
    <row r="208" spans="1:2" x14ac:dyDescent="0.3">
      <c r="A208" t="s">
        <v>86</v>
      </c>
    </row>
    <row r="209" spans="1:2" x14ac:dyDescent="0.3">
      <c r="A209" s="7" t="s">
        <v>88</v>
      </c>
    </row>
    <row r="210" spans="1:2" x14ac:dyDescent="0.3">
      <c r="A210" s="7" t="s">
        <v>87</v>
      </c>
    </row>
    <row r="211" spans="1:2" x14ac:dyDescent="0.3">
      <c r="A211" t="s">
        <v>85</v>
      </c>
    </row>
    <row r="212" spans="1:2" x14ac:dyDescent="0.3">
      <c r="A212" s="7" t="s">
        <v>240</v>
      </c>
    </row>
    <row r="213" spans="1:2" x14ac:dyDescent="0.3">
      <c r="A213" t="s">
        <v>155</v>
      </c>
    </row>
    <row r="214" spans="1:2" x14ac:dyDescent="0.3">
      <c r="A214" t="s">
        <v>209</v>
      </c>
    </row>
    <row r="215" spans="1:2" x14ac:dyDescent="0.3">
      <c r="A215" t="s">
        <v>58</v>
      </c>
    </row>
    <row r="216" spans="1:2" x14ac:dyDescent="0.3">
      <c r="A216" s="7" t="s">
        <v>171</v>
      </c>
    </row>
    <row r="217" spans="1:2" x14ac:dyDescent="0.3">
      <c r="A217">
        <f>COUNTA(A2:A216)</f>
        <v>215</v>
      </c>
      <c r="B217">
        <f>COUNTA(B2:B216)</f>
        <v>51</v>
      </c>
    </row>
    <row r="218" spans="1:2" x14ac:dyDescent="0.3">
      <c r="A218"/>
    </row>
    <row r="219" spans="1:2" x14ac:dyDescent="0.3">
      <c r="A219"/>
    </row>
    <row r="220" spans="1:2" x14ac:dyDescent="0.3">
      <c r="A220"/>
    </row>
    <row r="221" spans="1:2" x14ac:dyDescent="0.3">
      <c r="A221"/>
    </row>
    <row r="222" spans="1:2" x14ac:dyDescent="0.3">
      <c r="A222"/>
    </row>
    <row r="223" spans="1:2" x14ac:dyDescent="0.3">
      <c r="A223"/>
    </row>
    <row r="224" spans="1:2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</sheetData>
  <sortState xmlns:xlrd2="http://schemas.microsoft.com/office/spreadsheetml/2017/richdata2" ref="A2:A679">
    <sortCondition ref="A1:A679"/>
  </sortState>
  <hyperlinks>
    <hyperlink ref="A43" r:id="rId1" display="https://ebird.org/species/yebcuc" xr:uid="{5F334604-B376-40F8-9947-A04592BAAC2C}"/>
    <hyperlink ref="A7" r:id="rId2" display="https://ebird.org/species/rtlhum" xr:uid="{A211DDA7-F024-4D2B-A2CF-51687194A009}"/>
    <hyperlink ref="A105" r:id="rId3" display="https://ebird.org/species/gyhdov1" xr:uid="{5CDD97C6-A0FB-4FD4-956D-BDA500F6F626}"/>
    <hyperlink ref="A130" r:id="rId4" display="https://ebird.org/species/bcnher" xr:uid="{268A18C0-5454-435B-921E-7D5679B227C0}"/>
    <hyperlink ref="A17" r:id="rId5" display="https://ebird.org/species/rthhum" xr:uid="{DCE8FE3B-5F01-4D96-8EDC-9642426EA9C2}"/>
    <hyperlink ref="A54" r:id="rId6" display="https://ebird.org/species/grbani" xr:uid="{93C442E9-3542-4F82-9B41-4F0A9EE984B2}"/>
    <hyperlink ref="A55" r:id="rId7" display="https://ebird.org/species/thitin1" xr:uid="{4A1E80F7-8569-42A8-9546-9400B0B2D959}"/>
    <hyperlink ref="B17" r:id="rId8" display="https://ebird.org/species/thitin1" xr:uid="{13E7418E-DFB3-4A50-B45F-A10B456D8A34}"/>
    <hyperlink ref="B16" r:id="rId9" display="https://ebird.org/species/grbani" xr:uid="{A173FD6E-0109-4746-8FF1-94BD8656838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E1101DF1EEA7429C61D186DA265392" ma:contentTypeVersion="14" ma:contentTypeDescription="Create a new document." ma:contentTypeScope="" ma:versionID="e1fd029e66ff634cd9a6595544c78de4">
  <xsd:schema xmlns:xsd="http://www.w3.org/2001/XMLSchema" xmlns:xs="http://www.w3.org/2001/XMLSchema" xmlns:p="http://schemas.microsoft.com/office/2006/metadata/properties" xmlns:ns2="526a50de-7c22-4c09-8db7-73c2dd151c4b" xmlns:ns3="060a55b5-9df3-48f2-990b-75d3a82777ad" targetNamespace="http://schemas.microsoft.com/office/2006/metadata/properties" ma:root="true" ma:fieldsID="91a03fca1e0c25ddfeec49d4c0cdabe8" ns2:_="" ns3:_="">
    <xsd:import namespace="526a50de-7c22-4c09-8db7-73c2dd151c4b"/>
    <xsd:import namespace="060a55b5-9df3-48f2-990b-75d3a827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a50de-7c22-4c09-8db7-73c2dd151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e0c62d-512b-43fa-b345-b766ed034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a55b5-9df3-48f2-990b-75d3a82777a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6a50de-7c22-4c09-8db7-73c2dd151c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8B358E-196F-47D7-B73F-671B465D4192}"/>
</file>

<file path=customXml/itemProps2.xml><?xml version="1.0" encoding="utf-8"?>
<ds:datastoreItem xmlns:ds="http://schemas.openxmlformats.org/officeDocument/2006/customXml" ds:itemID="{AE50345C-D48F-4ECF-968B-5DAE159F9396}"/>
</file>

<file path=customXml/itemProps3.xml><?xml version="1.0" encoding="utf-8"?>
<ds:datastoreItem xmlns:ds="http://schemas.openxmlformats.org/officeDocument/2006/customXml" ds:itemID="{88454981-72CD-4C1E-89AE-F23E2E2DC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PUSTUNICH</vt:lpstr>
      <vt:lpstr>YOHALTÚN</vt:lpstr>
      <vt:lpstr>F. ÁNGELES</vt:lpstr>
      <vt:lpstr>C. COLÓN</vt:lpstr>
      <vt:lpstr>C. REJÓN</vt:lpstr>
      <vt:lpstr>CHUN-EK</vt:lpstr>
      <vt:lpstr>CHANCHÉN</vt:lpstr>
      <vt:lpstr>CANCABCHÉN</vt:lpstr>
      <vt:lpstr>XMABÉN</vt:lpstr>
      <vt:lpstr>X-CANHÁ</vt:lpstr>
      <vt:lpstr>F.J.MUJICA</vt:lpstr>
      <vt:lpstr>total by eco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Chiquis Can</dc:creator>
  <cp:lastModifiedBy>Maggie Maniago</cp:lastModifiedBy>
  <dcterms:created xsi:type="dcterms:W3CDTF">2023-06-07T19:28:42Z</dcterms:created>
  <dcterms:modified xsi:type="dcterms:W3CDTF">2025-07-02T22:00:27Z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0x01010009E1101DF1EEA7429C61D186DA265392</vt:lpwstr>
  </property>
</Properties>
</file>