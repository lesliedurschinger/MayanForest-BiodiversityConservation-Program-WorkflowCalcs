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 TGC Shared\Active\TGC-01625 ACAC - Mexico - Yucatan - Carbon Development REDD+\16. SDVista Nature Framework Pilot\09. Monitoring and Data Collection\Field Data\Raw Data with Transect Locations\"/>
    </mc:Choice>
  </mc:AlternateContent>
  <xr:revisionPtr revIDLastSave="0" documentId="8_{A5AC2BF6-9C97-4239-9C0E-81EDAA73C286}" xr6:coauthVersionLast="47" xr6:coauthVersionMax="47" xr10:uidLastSave="{00000000-0000-0000-0000-000000000000}"/>
  <bookViews>
    <workbookView xWindow="28680" yWindow="-120" windowWidth="29040" windowHeight="15720" firstSheet="6" activeTab="13" xr2:uid="{81E39C32-C149-4A44-8802-83B4E5D766FB}"/>
  </bookViews>
  <sheets>
    <sheet name="Francisco J. Mujica" sheetId="1" r:id="rId1"/>
    <sheet name="Xkanha" sheetId="2" r:id="rId2"/>
    <sheet name="Xmaben" sheetId="3" state="hidden" r:id="rId3"/>
    <sheet name="Pustunich" sheetId="4" r:id="rId4"/>
    <sheet name="Yohaltún" sheetId="5" r:id="rId5"/>
    <sheet name="Felipe Ángeles" sheetId="6" r:id="rId6"/>
    <sheet name="Manuel Crescencio Rejón" sheetId="7" r:id="rId7"/>
    <sheet name="Chun Ek" sheetId="8" r:id="rId8"/>
    <sheet name="Cancabchen" sheetId="10" r:id="rId9"/>
    <sheet name="Chanchen" sheetId="9" r:id="rId10"/>
    <sheet name="Cristóbal Colón" sheetId="11" state="hidden" r:id="rId11"/>
    <sheet name="Información de transectos" sheetId="12" r:id="rId12"/>
    <sheet name="Listado general" sheetId="13" r:id="rId13"/>
    <sheet name="final spp list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4" l="1"/>
  <c r="A48" i="14"/>
  <c r="C8" i="14" s="1"/>
  <c r="C3" i="14"/>
  <c r="C4" i="14"/>
  <c r="C5" i="14"/>
  <c r="C6" i="14"/>
  <c r="C7" i="14"/>
  <c r="C2" i="14"/>
  <c r="C13" i="14" l="1"/>
  <c r="C12" i="14"/>
  <c r="C11" i="14"/>
  <c r="C10" i="14"/>
  <c r="C9" i="14"/>
</calcChain>
</file>

<file path=xl/sharedStrings.xml><?xml version="1.0" encoding="utf-8"?>
<sst xmlns="http://schemas.openxmlformats.org/spreadsheetml/2006/main" count="2832" uniqueCount="416">
  <si>
    <t>ID proyecto</t>
  </si>
  <si>
    <t>Punto Observ. ID</t>
  </si>
  <si>
    <t>Elevación</t>
  </si>
  <si>
    <t>Fecha</t>
  </si>
  <si>
    <t>Nombre observador</t>
  </si>
  <si>
    <t>#</t>
  </si>
  <si>
    <t>Hora</t>
  </si>
  <si>
    <t>Nombre común</t>
  </si>
  <si>
    <t>Nombre científico</t>
  </si>
  <si>
    <t>Habitat condición</t>
  </si>
  <si>
    <t>Observaciones (Huellas, otros)</t>
  </si>
  <si>
    <t>Ids fotos</t>
  </si>
  <si>
    <t>Notas sobre la observación/ sexo</t>
  </si>
  <si>
    <t>Proyecto ACAC</t>
  </si>
  <si>
    <t>Francisco J. Mujica</t>
  </si>
  <si>
    <t>216429, 2132265, 16Q</t>
  </si>
  <si>
    <t>Pedro Nahuat</t>
  </si>
  <si>
    <t>Lagartija espinosa de puntos amarillos</t>
  </si>
  <si>
    <t>Sceloporus chrysostictus</t>
  </si>
  <si>
    <t>Bordes de selva mediana subcaducifolia</t>
  </si>
  <si>
    <t>Observación directa</t>
  </si>
  <si>
    <t>Abaniquillo liso del sureste</t>
  </si>
  <si>
    <t>Norops rodriguezii</t>
  </si>
  <si>
    <t>Coord. Inicio</t>
  </si>
  <si>
    <t>Coord. Final</t>
  </si>
  <si>
    <t># Transecto</t>
  </si>
  <si>
    <t>216798, 2131610, 16Q</t>
  </si>
  <si>
    <t>216026, 2132918, 16Q</t>
  </si>
  <si>
    <t>Abaniquillo yucateco</t>
  </si>
  <si>
    <t>Norops ustus</t>
  </si>
  <si>
    <t>215526, 2132423, 16Q</t>
  </si>
  <si>
    <t>215539, 2131768, 16Q</t>
  </si>
  <si>
    <t>Basilisco café</t>
  </si>
  <si>
    <t>Basiliscus vittatus</t>
  </si>
  <si>
    <t>Iguana de cola espinosa yucateca</t>
  </si>
  <si>
    <t>Cachryx defensor</t>
  </si>
  <si>
    <t>Selva mediana subcaducifolia</t>
  </si>
  <si>
    <t>Rana arborícola lechosa</t>
  </si>
  <si>
    <t>Trachycephalus vermiculatus</t>
  </si>
  <si>
    <t>216501, 2131641, 16Q</t>
  </si>
  <si>
    <t>Ameiva arcoíris</t>
  </si>
  <si>
    <t>Holcosus gaigeae</t>
  </si>
  <si>
    <t>244516, 2112791, 16Q</t>
  </si>
  <si>
    <t>243818, 2112316, 16Q</t>
  </si>
  <si>
    <t>Imantodes cenchoa</t>
  </si>
  <si>
    <t>Observada por Juan Cruzado</t>
  </si>
  <si>
    <t>Culebra perico mexicana</t>
  </si>
  <si>
    <t>Leptophis mexicanus</t>
  </si>
  <si>
    <t>Borde de aguada en selva mediana subcaducifolia</t>
  </si>
  <si>
    <t>Sapo gigante</t>
  </si>
  <si>
    <t>Rhinella horribilis</t>
  </si>
  <si>
    <t>Rana arborícola de ojos rojos</t>
  </si>
  <si>
    <t>Agalychnis taylori</t>
  </si>
  <si>
    <t>Rana arborícola amarillenta</t>
  </si>
  <si>
    <t>Dendropsophus microcephalus</t>
  </si>
  <si>
    <t>Rana leopardo</t>
  </si>
  <si>
    <t>Lithobates brownorum</t>
  </si>
  <si>
    <t>Rana arborícola mexicana</t>
  </si>
  <si>
    <t>Smilisca baudinii</t>
  </si>
  <si>
    <t xml:space="preserve">Rana de hojarasca </t>
  </si>
  <si>
    <t>Leptodactylus melanonotus</t>
  </si>
  <si>
    <t>245137, 2113030 16Q</t>
  </si>
  <si>
    <t>Abaniquillo fantasma</t>
  </si>
  <si>
    <t>Norops lemurinus</t>
  </si>
  <si>
    <t>Geco bandeado yucateco</t>
  </si>
  <si>
    <t>Coleonyx elegans</t>
  </si>
  <si>
    <t>Xkanha</t>
  </si>
  <si>
    <t>Drymobius margaritiferus</t>
  </si>
  <si>
    <t>Culebra corredora de petatillos</t>
  </si>
  <si>
    <t>242999, 2112398, 16Q</t>
  </si>
  <si>
    <t>Aspidoscelis angusticeps</t>
  </si>
  <si>
    <t>Huico yucateco</t>
  </si>
  <si>
    <t>Leptodeira frenata</t>
  </si>
  <si>
    <t>Tlalocohyla loquax</t>
  </si>
  <si>
    <t>Coniophanes imperialis</t>
  </si>
  <si>
    <t>Culebra ojo de gato</t>
  </si>
  <si>
    <t>Rana arborícola locuaz</t>
  </si>
  <si>
    <t>Culebra rayas negras</t>
  </si>
  <si>
    <t>Observada por Pauline Santana</t>
  </si>
  <si>
    <t>Un ejemplar observado por Pauline Santana</t>
  </si>
  <si>
    <t>242929, 2110949, 16Q</t>
  </si>
  <si>
    <t>243379, 2110753, 16Q</t>
  </si>
  <si>
    <t>Xmaben</t>
  </si>
  <si>
    <t>Crocodylus moreletii</t>
  </si>
  <si>
    <t>Incilius valliceps</t>
  </si>
  <si>
    <t>Scinax staufferi</t>
  </si>
  <si>
    <t>Ninia sebae</t>
  </si>
  <si>
    <t>261298, 2132274, 16Q</t>
  </si>
  <si>
    <t>261128, 2131967, 16Q</t>
  </si>
  <si>
    <t>Cocodrilo de pantano</t>
  </si>
  <si>
    <t>Rana de hojarasca</t>
  </si>
  <si>
    <t>Sapo común</t>
  </si>
  <si>
    <t>Rana trompuda de Stauffer</t>
  </si>
  <si>
    <t>Culebra roja del cafetal</t>
  </si>
  <si>
    <t>266172, 2133905, 16Q</t>
  </si>
  <si>
    <t>265700, 2133841, 16Q</t>
  </si>
  <si>
    <t>Borde de una aguada artificial rodeado de vegetación secundaria</t>
  </si>
  <si>
    <t>Selva baja caducifolia</t>
  </si>
  <si>
    <t>Pustunich</t>
  </si>
  <si>
    <t>Holcosus hartweyi</t>
  </si>
  <si>
    <t>Norops tropidonotus</t>
  </si>
  <si>
    <t>Phrynonax poecilonotus</t>
  </si>
  <si>
    <t>Sceloporus lundelli</t>
  </si>
  <si>
    <t>Corytophanes cristatus</t>
  </si>
  <si>
    <t>Engystomops pustulosus</t>
  </si>
  <si>
    <t>Abaniquillo escamoso mayor</t>
  </si>
  <si>
    <t>Culebra resoplona norteña</t>
  </si>
  <si>
    <t>Lagartija espinosa yucateca</t>
  </si>
  <si>
    <t>Turipache cabeza lisa</t>
  </si>
  <si>
    <t>Ranita túngara</t>
  </si>
  <si>
    <t>809105, 2013887, 15Q</t>
  </si>
  <si>
    <t>808962, 2013504, 15Q</t>
  </si>
  <si>
    <t>809203, 2012457, 15Q</t>
  </si>
  <si>
    <t>809408, 2011610, 15Q</t>
  </si>
  <si>
    <t>809588, 2010729, 15Q</t>
  </si>
  <si>
    <t>812714, 2010933, 15Q</t>
  </si>
  <si>
    <t>813371, 2011617, 15Q</t>
  </si>
  <si>
    <t>Yohaltún</t>
  </si>
  <si>
    <t>X</t>
  </si>
  <si>
    <t>Bothrops asper</t>
  </si>
  <si>
    <t>Thecadactylus rapicauda</t>
  </si>
  <si>
    <t>Leptophis praestans</t>
  </si>
  <si>
    <t>Holcosus hartwegi</t>
  </si>
  <si>
    <t>Rhinophrynus dorsalis</t>
  </si>
  <si>
    <t>Dipsas brevifacies</t>
  </si>
  <si>
    <t>214731, 1991986, 16Q</t>
  </si>
  <si>
    <t>213866, 1992237, 16Q</t>
  </si>
  <si>
    <t>213130, 1992567, 16Q</t>
  </si>
  <si>
    <t>214769, 1991989, 16Q</t>
  </si>
  <si>
    <t>215579, 1991879, 16Q</t>
  </si>
  <si>
    <t>Nauyaca real</t>
  </si>
  <si>
    <t>215163, 1982722, 16Q</t>
  </si>
  <si>
    <t>214964, 1982546, 16Q</t>
  </si>
  <si>
    <t>Geco cola de nabo</t>
  </si>
  <si>
    <t>Culebra perico verde</t>
  </si>
  <si>
    <t>Muda de piel</t>
  </si>
  <si>
    <t>215418, 1981029, 16Q</t>
  </si>
  <si>
    <t>215292, 1980600, 16Q</t>
  </si>
  <si>
    <t>Sapo excavador mexicano</t>
  </si>
  <si>
    <t>Registro auditivo</t>
  </si>
  <si>
    <t>Culebra caracolera chata</t>
  </si>
  <si>
    <t>215176, 1982728, 16Q</t>
  </si>
  <si>
    <t>215045, 1983600, 16Q</t>
  </si>
  <si>
    <t>215037, 1983679, 16Q</t>
  </si>
  <si>
    <t>214970, 1984563, 16Q</t>
  </si>
  <si>
    <t>Felipe Ángeles</t>
  </si>
  <si>
    <t>Trachemys venusta</t>
  </si>
  <si>
    <t>Sceloporys chrysostictus</t>
  </si>
  <si>
    <t>Norop tropidonotus</t>
  </si>
  <si>
    <t>Leptodeira polysticta</t>
  </si>
  <si>
    <t>Oxybelis potosiensis</t>
  </si>
  <si>
    <t>Leptodactylus fragilis</t>
  </si>
  <si>
    <t>Coniophanes schmidti</t>
  </si>
  <si>
    <t>Tortuga jicotea</t>
  </si>
  <si>
    <t>Culebra bejuquilla café</t>
  </si>
  <si>
    <t>Rana de bigotes</t>
  </si>
  <si>
    <t>Culebra ojo de gato de selva</t>
  </si>
  <si>
    <t>Culebra rayada yucateca</t>
  </si>
  <si>
    <t>261784, 2014037, 16Q</t>
  </si>
  <si>
    <t>261701, 2014648, 16Q</t>
  </si>
  <si>
    <t>261824, 2014673, 16Q</t>
  </si>
  <si>
    <t>261866, 2015450, 16Q</t>
  </si>
  <si>
    <t>261918, 2016302, 16Q</t>
  </si>
  <si>
    <t>261934, 2017007, 16Q</t>
  </si>
  <si>
    <t>261813, 2016917, 16Q</t>
  </si>
  <si>
    <t>261818, 2014647, 16Q</t>
  </si>
  <si>
    <t>261878, 2015623, 16Q</t>
  </si>
  <si>
    <t>261784, 2014028, 16Q</t>
  </si>
  <si>
    <t>261726, 2013096, 16Q</t>
  </si>
  <si>
    <t>261761, 2013653, 16Q</t>
  </si>
  <si>
    <t>261785, 2014633, 16Q</t>
  </si>
  <si>
    <t>261764, 2013643, 16Q</t>
  </si>
  <si>
    <t>261708, 2012730, 16Q</t>
  </si>
  <si>
    <t>261960, 2016987, 16Q</t>
  </si>
  <si>
    <t>261106, 2016929, 16Q</t>
  </si>
  <si>
    <t>262632, 2017067, 16Q</t>
  </si>
  <si>
    <t>Bordes de aguada en selva mediana subcaducifolia</t>
  </si>
  <si>
    <t>Manuel Crescencio Rejón</t>
  </si>
  <si>
    <t>Geophis sartorii</t>
  </si>
  <si>
    <t>267069, 1985068, 16Q</t>
  </si>
  <si>
    <t>267544, 1984909, 16Q</t>
  </si>
  <si>
    <t>267433, 1984670, 16Q</t>
  </si>
  <si>
    <t>267533, 1985104, 16Q</t>
  </si>
  <si>
    <t>267907, 1984877, 16Q</t>
  </si>
  <si>
    <t>267074, 1985045, 16Q</t>
  </si>
  <si>
    <t>267531, 1984713, 16Q</t>
  </si>
  <si>
    <t>267385, 1983831, 16Q</t>
  </si>
  <si>
    <t>266918, 1983729, 16Q</t>
  </si>
  <si>
    <t>267394, 1983846, 16Q</t>
  </si>
  <si>
    <t>267797, 1983881, 16Q</t>
  </si>
  <si>
    <t>Culebra caracolera terrestre</t>
  </si>
  <si>
    <t>Observada por Ismael Arellano</t>
  </si>
  <si>
    <t>Bordes de aguada en Selva mediana caducifolia</t>
  </si>
  <si>
    <t>Chun Ek</t>
  </si>
  <si>
    <t>Ctenosaura similis</t>
  </si>
  <si>
    <t>Crotalus tzabcan</t>
  </si>
  <si>
    <t>271757, 2122284, 16Q</t>
  </si>
  <si>
    <t>271940, 2122642, 16Q</t>
  </si>
  <si>
    <t>272111, 2123049, 16Q</t>
  </si>
  <si>
    <t>270557, 2123148, 16Q</t>
  </si>
  <si>
    <t>270032, 2122797, 16Q</t>
  </si>
  <si>
    <t>270032, 2122791, 16Q</t>
  </si>
  <si>
    <t>270355, 2123036, 16Q</t>
  </si>
  <si>
    <t>272643, 2121613, 16Q</t>
  </si>
  <si>
    <t>271966, 2121891, 16Q</t>
  </si>
  <si>
    <t>271797, 2121980, 16Q</t>
  </si>
  <si>
    <t>271527, 2122271, 16Q</t>
  </si>
  <si>
    <t>Iguana negra de cola espinosa</t>
  </si>
  <si>
    <t>Víbora de cascabel yucateca</t>
  </si>
  <si>
    <t>Sabana inundable</t>
  </si>
  <si>
    <t>Laemanctus serratus</t>
  </si>
  <si>
    <t>Toloque coronado</t>
  </si>
  <si>
    <t>Chanchen</t>
  </si>
  <si>
    <t>Selva baja subcaducifolia</t>
  </si>
  <si>
    <t>267174, 2107659, 16Q</t>
  </si>
  <si>
    <t>267324, 2107216, 16Q</t>
  </si>
  <si>
    <t>268691, 2106246, 16Q</t>
  </si>
  <si>
    <t>269030, 2105841, 16Q</t>
  </si>
  <si>
    <t>268685, 2106256, 16Q</t>
  </si>
  <si>
    <t>268918, 2106434, 16Q</t>
  </si>
  <si>
    <t>269318, 2104756, 16Q</t>
  </si>
  <si>
    <t>269984, 2104158, 16Q</t>
  </si>
  <si>
    <t>270749, 2103743, 16Q</t>
  </si>
  <si>
    <t>Cancabchen</t>
  </si>
  <si>
    <t>223259, 2120297, 16Q</t>
  </si>
  <si>
    <t>222949,2119705, 16Q</t>
  </si>
  <si>
    <t>223332, 2120290, 16Q</t>
  </si>
  <si>
    <t>223997, 2120173, 16Q</t>
  </si>
  <si>
    <t>223680, 2119907, 16Q</t>
  </si>
  <si>
    <t>223255, 2120223, 16Q</t>
  </si>
  <si>
    <t>223435, 2121094, 16Q</t>
  </si>
  <si>
    <t>Triprion petasatus</t>
  </si>
  <si>
    <t>Rana cabeza de pala</t>
  </si>
  <si>
    <t>237711, 2010406, 16Q</t>
  </si>
  <si>
    <t>237363, 2010955, 16Q</t>
  </si>
  <si>
    <t>239264, 2012908, 16Q</t>
  </si>
  <si>
    <t>238319, 2012862, 16Q</t>
  </si>
  <si>
    <t>239732, 2012900, 16Q</t>
  </si>
  <si>
    <t>IMG_0996_Cachryx defensor</t>
  </si>
  <si>
    <t>IMG_0948_Sceloporus chrysostictus</t>
  </si>
  <si>
    <t>IMG_0943_Norops rodriguezii</t>
  </si>
  <si>
    <t>IMG_0942_Basiliscus vittatus</t>
  </si>
  <si>
    <t>IMG_0420_Coniophanes imperialis</t>
  </si>
  <si>
    <t>IMG_0421_Norops ustus</t>
  </si>
  <si>
    <t>IMG_0422_Norops ustus/ IMG_0423_Norops ustus</t>
  </si>
  <si>
    <t>IMG_0426_Incilius valliceps/ IMG_0427_Incilius valliceps/ IMG_0428_Incilius valliceps/ IMG_0429_Incilius valliceps/ IMG_0430_Incilius valliceps</t>
  </si>
  <si>
    <t>IMG_0877_Sceloporus chrysostictus</t>
  </si>
  <si>
    <t>IMG_0887_Sceloporus chrysostictus</t>
  </si>
  <si>
    <t>IMG_0895_Aspidoscelis angusticeps</t>
  </si>
  <si>
    <t>IMG_0929_Lithobates brownorum</t>
  </si>
  <si>
    <t>IMG_0931_Trachycephalus vermiculatus</t>
  </si>
  <si>
    <t>IMG_0934_Tlalocohyla loquax</t>
  </si>
  <si>
    <t>IMG_0935_Smilisca baudinii</t>
  </si>
  <si>
    <t>IMG_0938_Leptodactylus melanonotus</t>
  </si>
  <si>
    <t>IMG_0941_Basiliscus vittatus</t>
  </si>
  <si>
    <t>IMG_0665_Norops ustus</t>
  </si>
  <si>
    <t>IMG_0666_Leptodactylus melanonotus</t>
  </si>
  <si>
    <t>IMG_0669_Lithobates brownorum</t>
  </si>
  <si>
    <t>IMG_0670_Trachycephalus vermiculatus</t>
  </si>
  <si>
    <t>IMG_0671_Leptodactylus melanonotus</t>
  </si>
  <si>
    <t>IMG_0680_Smilisca baudinii</t>
  </si>
  <si>
    <t>IMG_0682_Basiliscus vittatus/ IMG_0683_Basiliscus vittatus</t>
  </si>
  <si>
    <t>IMG_0688_Ninia sebae</t>
  </si>
  <si>
    <t>IMG_0675_Lithobates brownorum/ IMG_0684_Lithobates brownorum/ IMG_0690_Lithobates brownorum/ IMG_0692_Lithobates brownorum</t>
  </si>
  <si>
    <t>IMG_0725_Crocodylus moreletii</t>
  </si>
  <si>
    <t>IMG_0290_Norops rodriguezii</t>
  </si>
  <si>
    <t>IMG_0292_Basiliscus vittatus</t>
  </si>
  <si>
    <t>IMG_0293_Basiliscus vittatus</t>
  </si>
  <si>
    <t>IMG_0738_Leptodeira polysticta</t>
  </si>
  <si>
    <t>IMG_0779_Leptodactylus fragilis</t>
  </si>
  <si>
    <t>IMG_0780_Ctenosaura similis</t>
  </si>
  <si>
    <t>IMG_0781_Crotalus tzabcan</t>
  </si>
  <si>
    <t>IMG_0813_Norops lemurinus</t>
  </si>
  <si>
    <t>IMG_0815_Basiliscus vittatus</t>
  </si>
  <si>
    <t>IMG_0821_Crocodylus moreletii</t>
  </si>
  <si>
    <t>IMG_0827_Norops lemurinus</t>
  </si>
  <si>
    <t>IMG_0330_Aspidoscelis angusticeps</t>
  </si>
  <si>
    <t>IMG_0335_Trachemys venusta</t>
  </si>
  <si>
    <t>IMG_0348_Crocodylus moreletii/ IMG_0365_Crocodylus moreletii</t>
  </si>
  <si>
    <t>IMG_0367_Norops tropidonotus</t>
  </si>
  <si>
    <t>IMG_0368_Norops rodriguezii</t>
  </si>
  <si>
    <t>IMG_0369_Norops ustus</t>
  </si>
  <si>
    <t>IMG_0371_Laemanctus serratus</t>
  </si>
  <si>
    <t>IMG_0389_Norops lemurinus</t>
  </si>
  <si>
    <t>IMG_0391_Norops lemurinus</t>
  </si>
  <si>
    <t>IMG_0203_Norops tropidonotus</t>
  </si>
  <si>
    <t>IMG_0209_Bothrops asper</t>
  </si>
  <si>
    <t>IMG_0214_Oxybelis potosiensis</t>
  </si>
  <si>
    <t>IMG_0444_Leptodactylus fragilis</t>
  </si>
  <si>
    <t>IMG_0446_Coniophanes schmidti</t>
  </si>
  <si>
    <t>IMG_0448_Coniophanes imperialis</t>
  </si>
  <si>
    <t>IMG_0443_Leptodeira frenata/ IMG_0447_Leptodeira frenata</t>
  </si>
  <si>
    <t>IMG_0462_Sceloporus chrysostictus</t>
  </si>
  <si>
    <t>IMG_0469_Norops tropidonotus</t>
  </si>
  <si>
    <t>IMG_0470_Drymobius margaritiferus/ IMG_0474_Drymobius margaritiferus</t>
  </si>
  <si>
    <t>IMG_0484_Drymobius margaritiferus</t>
  </si>
  <si>
    <t>IMG_0518_Coniophanes imperialis</t>
  </si>
  <si>
    <t>IMG_0522_Leptophis mexicanus/ IMG_0533_Leptophis mexicanus</t>
  </si>
  <si>
    <t>IMG_0524_Coniophanes imperialis</t>
  </si>
  <si>
    <t>IMG_0525_Norops ustus</t>
  </si>
  <si>
    <t>IMG_0528_Coniophanes schmidti</t>
  </si>
  <si>
    <t>IMG_0531_Norops rodriguezii</t>
  </si>
  <si>
    <t>IMG_0223_Leptodeira frenata</t>
  </si>
  <si>
    <t>IMG_0547_Norops rodriguezii</t>
  </si>
  <si>
    <t>IMG_0568_Basiliscus vittatus</t>
  </si>
  <si>
    <t>IMG_0576_Trachemys venusta</t>
  </si>
  <si>
    <t>IMG_0580_Norops tropidonotus</t>
  </si>
  <si>
    <t>IMG_0581_Rhinella horribilis/ IMG_0585_Rhinella horribilis</t>
  </si>
  <si>
    <t>IMG_0583_Coniophanes imperialis/ IMG_0586_Coniophanes imperialis</t>
  </si>
  <si>
    <t>IMG_0587_Coniophanes imperialis</t>
  </si>
  <si>
    <t>IMG_0588_Trachycephalus vermiculatus</t>
  </si>
  <si>
    <t>IMG_0589_Leptodactylus melanonotus</t>
  </si>
  <si>
    <t>IMG_0590_Trachycephalus vermiculatus</t>
  </si>
  <si>
    <t>IMG_0591_Lithobates brownorum</t>
  </si>
  <si>
    <t>IMG_0592_Norops ustus</t>
  </si>
  <si>
    <t>IMG_0534_Sceloporus chrysostictus</t>
  </si>
  <si>
    <t>IMG_0535_Norops tropidonotus</t>
  </si>
  <si>
    <t>IMG_0078_Phrynonax poecilonotus</t>
  </si>
  <si>
    <t>IMG_0143_Coleonyx elegans</t>
  </si>
  <si>
    <t>IMG_0144_Norops lemurinus</t>
  </si>
  <si>
    <t>IMG_0157_Trachycephalus vermiculatus</t>
  </si>
  <si>
    <t>IMG_0159_Thecadactylus rapicauda/ IMG_0162_Thecadactylus rapicauda</t>
  </si>
  <si>
    <t>IMG_0164_Dipsas brevifacies</t>
  </si>
  <si>
    <t>IMG_0166_Agalychnis taylori</t>
  </si>
  <si>
    <t>IMG_0170_Sceloporus chrysostictus</t>
  </si>
  <si>
    <t>Localidad</t>
  </si>
  <si>
    <t>N. transecto</t>
  </si>
  <si>
    <t>Coord. Este inicio</t>
  </si>
  <si>
    <t>Coord. Norte Inicio</t>
  </si>
  <si>
    <t>Zona</t>
  </si>
  <si>
    <t>Coord. Este Final</t>
  </si>
  <si>
    <t>Coord. Norte Final</t>
  </si>
  <si>
    <t>15Q</t>
  </si>
  <si>
    <t>16Q</t>
  </si>
  <si>
    <t>Cristóbal Colón</t>
  </si>
  <si>
    <t>Francisco Mujica</t>
  </si>
  <si>
    <t>Orden</t>
  </si>
  <si>
    <t>Familia</t>
  </si>
  <si>
    <t>Especie</t>
  </si>
  <si>
    <t>Distribución</t>
  </si>
  <si>
    <t>NOM-059</t>
  </si>
  <si>
    <t>UICN</t>
  </si>
  <si>
    <t>Anura</t>
  </si>
  <si>
    <t>Hylidae</t>
  </si>
  <si>
    <t>Nativa</t>
  </si>
  <si>
    <t>Leptodactylidae</t>
  </si>
  <si>
    <t>Ranita Túngara</t>
  </si>
  <si>
    <t>Phyllomedusidae</t>
  </si>
  <si>
    <t>Ranidae</t>
  </si>
  <si>
    <t>Rhinophrynidae</t>
  </si>
  <si>
    <t>Crocodylia</t>
  </si>
  <si>
    <t>Crocodylidae</t>
  </si>
  <si>
    <t>Squamata</t>
  </si>
  <si>
    <t>Anolidae</t>
  </si>
  <si>
    <t>Endémica</t>
  </si>
  <si>
    <t>Corytophanidae</t>
  </si>
  <si>
    <t>Eublepharidae</t>
  </si>
  <si>
    <t>Iguanidae</t>
  </si>
  <si>
    <t>Phrynosomatidae</t>
  </si>
  <si>
    <t>Phyllodactylidae</t>
  </si>
  <si>
    <t>Teiidae</t>
  </si>
  <si>
    <t>Colubridae</t>
  </si>
  <si>
    <t>Dipsadidae</t>
  </si>
  <si>
    <t>Viperidae</t>
  </si>
  <si>
    <t>Testudines</t>
  </si>
  <si>
    <t xml:space="preserve">Rana arborícola mexicana </t>
  </si>
  <si>
    <t>Bufonidae</t>
  </si>
  <si>
    <t>Culebra cordelilla chata</t>
  </si>
  <si>
    <t>LC</t>
  </si>
  <si>
    <t>NE</t>
  </si>
  <si>
    <t>Pr</t>
  </si>
  <si>
    <t>Fuera de las áreas del proyecto</t>
  </si>
  <si>
    <t>IUCN</t>
  </si>
  <si>
    <t>Coordenadas</t>
  </si>
  <si>
    <t>Boidae</t>
  </si>
  <si>
    <t>Boa imperator</t>
  </si>
  <si>
    <t>Boa centroamericana</t>
  </si>
  <si>
    <t>Norops beckeri</t>
  </si>
  <si>
    <t>Abaniquillo liquen</t>
  </si>
  <si>
    <t>258801, 1979810, 16Q</t>
  </si>
  <si>
    <t>201248, 2021861, 16Q</t>
  </si>
  <si>
    <t>Geoemydidae</t>
  </si>
  <si>
    <t>Rhinoclemmys areolata</t>
  </si>
  <si>
    <t>Tortuga mojina</t>
  </si>
  <si>
    <t>Drymarchon melanurus</t>
  </si>
  <si>
    <t>Culebra cola negra</t>
  </si>
  <si>
    <t>219306, 2150815, 16Q</t>
  </si>
  <si>
    <t>Abaniquillo café</t>
  </si>
  <si>
    <t>Introducido</t>
  </si>
  <si>
    <t>213199, 2153321, 16Q</t>
  </si>
  <si>
    <t>Cuija de casa</t>
  </si>
  <si>
    <t>Hemidactylus frenatus</t>
  </si>
  <si>
    <t>Gekkonidae</t>
  </si>
  <si>
    <t>A</t>
  </si>
  <si>
    <t>VU</t>
  </si>
  <si>
    <t>P</t>
  </si>
  <si>
    <t>NT</t>
  </si>
  <si>
    <t>Elapidae</t>
  </si>
  <si>
    <t>Micrurus apiatus</t>
  </si>
  <si>
    <t>Coralillo</t>
  </si>
  <si>
    <t>259065, 2127358, 16Q</t>
  </si>
  <si>
    <t>Norops sagrei</t>
  </si>
  <si>
    <t>Spilotes pullatus</t>
  </si>
  <si>
    <t>Culebra tigre</t>
  </si>
  <si>
    <t>Dentro de las áreas del proyecto</t>
  </si>
  <si>
    <t>213038,  2135476, 16Q/ 254037, 2112996, 16Q</t>
  </si>
  <si>
    <t>DATA COLLECTED BY Pedro Nahuat</t>
  </si>
  <si>
    <t>Ecosystem Type</t>
  </si>
  <si>
    <t>Ecosystem Type Start</t>
  </si>
  <si>
    <t>Ecosystem Type End</t>
  </si>
  <si>
    <t>1.5. Forest Subtropical/tropical dry</t>
  </si>
  <si>
    <t>2.1. Savanna - Dry</t>
  </si>
  <si>
    <t>taking start of each transect as the ecosystem type, as we use the start of bird transect/point counts and camera trap is one location</t>
  </si>
  <si>
    <t xml:space="preserve">Spp dry forests </t>
  </si>
  <si>
    <t>spp savanna</t>
  </si>
  <si>
    <t>Species not in Dry Forests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</si>
</sst>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20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14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2" fillId="0" borderId="0" xfId="0" applyFont="1" applyBorder="1"/>
    <xf numFmtId="0" fontId="0" fillId="0" borderId="0" xfId="0" applyBorder="1" applyAlignment="1">
      <alignment vertical="center" wrapText="1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3" fillId="0" borderId="0" xfId="0" applyFont="1" applyFill="1" applyBorder="1"/>
    <xf numFmtId="0" fontId="3" fillId="0" borderId="0" xfId="0" applyFont="1" applyFill="1"/>
    <xf numFmtId="0" fontId="0" fillId="0" borderId="0" xfId="0" applyFill="1"/>
  </cellXfs>
  <cellStyles count="1">
    <cellStyle name="Normal" xfId="0" builtinId="0"/>
  </cellStyles>
  <dxfs count="134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5" formatCode="h: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F2D68FD-B8E1-4C72-9F84-B9B5B9E2FB12}" name="Table9" displayName="Table9" ref="A4:M14" totalsRowShown="0" headerRowDxfId="0" dataDxfId="1">
  <autoFilter ref="A4:M14" xr:uid="{4F2D68FD-B8E1-4C72-9F84-B9B5B9E2FB12}"/>
  <tableColumns count="13">
    <tableColumn id="1" xr3:uid="{11DC0766-0FA0-4F2B-A398-5D998F1BF2C3}" name="# Transecto" dataDxfId="14"/>
    <tableColumn id="2" xr3:uid="{D0331AC5-44C9-4CB5-8148-697FFC44D6D4}" name="Coord. Inicio" dataDxfId="13"/>
    <tableColumn id="3" xr3:uid="{3D6D8579-05A8-4C05-B4CC-31ADD367924D}" name="Coord. Final" dataDxfId="12"/>
    <tableColumn id="4" xr3:uid="{6C2FF24A-52B7-4FAF-9FE8-2F2FA6DD4A87}" name="Fecha" dataDxfId="11"/>
    <tableColumn id="5" xr3:uid="{74BAA716-D924-40FE-B04C-85546A2B1746}" name="Hora" dataDxfId="10"/>
    <tableColumn id="6" xr3:uid="{65CC67E5-2B1D-4B95-A53D-293C415E1B97}" name="Nombre común" dataDxfId="9"/>
    <tableColumn id="7" xr3:uid="{0C6939E0-D232-4D95-9F82-3C7245147DD8}" name="Nombre científico" dataDxfId="8"/>
    <tableColumn id="8" xr3:uid="{FEC8D3C3-2C55-410C-A0EA-D16950D2F240}" name="#" dataDxfId="7"/>
    <tableColumn id="9" xr3:uid="{FB3500D2-3ADF-45F0-8CF4-DA6C35766016}" name="Ecosystem Type" dataDxfId="6"/>
    <tableColumn id="10" xr3:uid="{F514E150-09A6-4B7E-A4B2-715102DEA2AA}" name="Habitat condición" dataDxfId="5"/>
    <tableColumn id="11" xr3:uid="{DB2F4C33-93AA-4339-866D-5A202A70408B}" name="Observaciones (Huellas, otros)" dataDxfId="4"/>
    <tableColumn id="12" xr3:uid="{155AC5BC-0790-428E-9C01-4E58365996FD}" name="Ids fotos" dataDxfId="3"/>
    <tableColumn id="13" xr3:uid="{81EBE7C2-87CD-4E29-AD50-F2922D275E43}" name="Notas sobre la observación/ sexo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7E09AF-A8EC-4E0C-AA17-A0B551AC27B4}" name="Table8" displayName="Table8" ref="A4:M36" totalsRowShown="0" headerRowDxfId="15" dataDxfId="16">
  <autoFilter ref="A4:M36" xr:uid="{177E09AF-A8EC-4E0C-AA17-A0B551AC27B4}"/>
  <tableColumns count="13">
    <tableColumn id="1" xr3:uid="{4D7F8E6E-232D-4B70-BF9E-819FFE2B595F}" name="# Transecto" dataDxfId="29"/>
    <tableColumn id="2" xr3:uid="{09D6D636-5660-4B5C-B062-34F439C962C4}" name="Coord. Inicio" dataDxfId="28"/>
    <tableColumn id="3" xr3:uid="{5291F3E0-C95D-4D42-A06E-4F65A893CD1D}" name="Coord. Final" dataDxfId="27"/>
    <tableColumn id="4" xr3:uid="{940D8E1C-A6EB-42BE-AB7F-3CB64E6C8A49}" name="Fecha" dataDxfId="26"/>
    <tableColumn id="5" xr3:uid="{075FDFD0-CC1E-4320-9DF3-2B564C08FB3A}" name="Hora" dataDxfId="25"/>
    <tableColumn id="6" xr3:uid="{74D7B33A-3818-4641-98E1-9475AEEE6375}" name="Nombre común" dataDxfId="24"/>
    <tableColumn id="7" xr3:uid="{19CCE5E9-59D2-4658-B093-B55D535A0F8A}" name="Nombre científico" dataDxfId="23"/>
    <tableColumn id="8" xr3:uid="{1B55D2DA-4981-4D37-8648-8C96C1CD77EB}" name="#" dataDxfId="22"/>
    <tableColumn id="9" xr3:uid="{A98DF840-BF84-4CA9-99A1-D02979D4DB6A}" name="Ecosystem Type" dataDxfId="21"/>
    <tableColumn id="10" xr3:uid="{82E41210-F0E2-45E0-8967-B4329385C214}" name="Habitat condición" dataDxfId="20"/>
    <tableColumn id="11" xr3:uid="{65E59F61-3321-4F5D-B9BD-17ECAE00B9AE}" name="Observaciones (Huellas, otros)" dataDxfId="19"/>
    <tableColumn id="12" xr3:uid="{795E3221-7B9E-4D79-AF47-1DD40B217D2A}" name="Ids fotos" dataDxfId="18"/>
    <tableColumn id="13" xr3:uid="{6A8B607E-CFAF-455B-B9C0-D7D0E52D889A}" name="Notas sobre la observación/ sexo" dataDxfId="1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6928D4-3683-4F1D-A604-2867FEC53ECE}" name="Table7" displayName="Table7" ref="A4:M15" totalsRowShown="0" headerRowDxfId="30" dataDxfId="31">
  <autoFilter ref="A4:M15" xr:uid="{E36928D4-3683-4F1D-A604-2867FEC53ECE}"/>
  <tableColumns count="13">
    <tableColumn id="1" xr3:uid="{53EE3B2C-B7CA-4F30-8243-810E35589631}" name="# Transecto" dataDxfId="44"/>
    <tableColumn id="2" xr3:uid="{20043607-7CFC-4EFF-AB3C-306E0CAE5B09}" name="Coord. Inicio" dataDxfId="43"/>
    <tableColumn id="3" xr3:uid="{B88F726D-D5C2-4950-AF65-C80164B6F997}" name="Coord. Final" dataDxfId="42"/>
    <tableColumn id="4" xr3:uid="{B2CD4945-D397-435D-AD01-E0C0BD7E485D}" name="Fecha" dataDxfId="41"/>
    <tableColumn id="5" xr3:uid="{F39CEF96-52AF-4A6D-A0FF-FD744584C365}" name="Hora" dataDxfId="40"/>
    <tableColumn id="6" xr3:uid="{A3941138-F039-48D0-9205-908815350C53}" name="Nombre común" dataDxfId="39"/>
    <tableColumn id="7" xr3:uid="{E826B137-CDDF-4DC4-A0DD-560BA719B68B}" name="Nombre científico" dataDxfId="38"/>
    <tableColumn id="8" xr3:uid="{C30C8F6D-BDEE-4203-A6AB-085D3B1E0DA6}" name="#" dataDxfId="37"/>
    <tableColumn id="9" xr3:uid="{A6D229AE-8C73-4147-B9C6-1EB9AD6DDC75}" name="Habitat condición" dataDxfId="36"/>
    <tableColumn id="10" xr3:uid="{DC9354D9-5ED0-4A8F-B57E-04119D2EF9C7}" name="Ecosystem Type" dataDxfId="35"/>
    <tableColumn id="11" xr3:uid="{593ABD65-B993-433F-AF2B-0FDF4116201D}" name="Observaciones (Huellas, otros)" dataDxfId="34"/>
    <tableColumn id="12" xr3:uid="{D39EE928-E687-4154-9555-3BD99DFA0D71}" name="Ids fotos" dataDxfId="33"/>
    <tableColumn id="13" xr3:uid="{0153868E-0EFC-4754-8ED1-3BF9C0C86376}" name="Notas sobre la observación/ sexo" dataDxfId="3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18AA7-A2FE-4032-9F21-1646C3927298}" name="Table6" displayName="Table6" ref="A4:M29" totalsRowShown="0" headerRowDxfId="45" dataDxfId="46">
  <autoFilter ref="A4:M29" xr:uid="{4C818AA7-A2FE-4032-9F21-1646C3927298}"/>
  <tableColumns count="13">
    <tableColumn id="1" xr3:uid="{120EE091-0159-4848-A7D8-4B0D43CE2CF6}" name="# Transecto" dataDxfId="58"/>
    <tableColumn id="2" xr3:uid="{71188027-54FB-429A-B139-1C11BE06B12F}" name="Coord. Inicio" dataDxfId="57"/>
    <tableColumn id="3" xr3:uid="{FE8517E5-C01E-444D-B6D4-C4B8033193E0}" name="Coord. Final" dataDxfId="56"/>
    <tableColumn id="4" xr3:uid="{4AB64F08-599B-47A2-A08F-E1133559D5AF}" name="Fecha" dataDxfId="55"/>
    <tableColumn id="5" xr3:uid="{1407449C-2416-458D-BE56-CECFB5B534AB}" name="Hora" dataDxfId="54"/>
    <tableColumn id="6" xr3:uid="{017AB459-5C50-4E87-B921-6C989FAB6204}" name="Nombre común" dataDxfId="53"/>
    <tableColumn id="7" xr3:uid="{FA6E62EB-29BD-438D-A99E-9C32BFEDE10C}" name="Nombre científico" dataDxfId="52"/>
    <tableColumn id="8" xr3:uid="{79DE244A-50EE-49A7-945B-1C4A64DD7651}" name="#" dataDxfId="51"/>
    <tableColumn id="9" xr3:uid="{170E3843-5DDA-4723-B9F1-C8D8FA48E1E7}" name="Habitat condición" dataDxfId="50"/>
    <tableColumn id="10" xr3:uid="{D6F61A14-386B-49F3-BFD3-39B72A486F72}" name="Ecosystem Type" dataDxfId="49"/>
    <tableColumn id="11" xr3:uid="{F44F4856-02FD-4402-820A-B058D8C84083}" name="Observaciones (Huellas, otros)" dataDxfId="48"/>
    <tableColumn id="12" xr3:uid="{2A82980E-2F0E-4133-93B5-99DB25EBC9D4}" name="Ids fotos" dataDxfId="47"/>
    <tableColumn id="13" xr3:uid="{25FA263E-7B28-41C4-9812-1F55ADBE16F2}" name="Notas sobre la observación/ sex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30903D-DB76-456B-8BC8-EEE53181783E}" name="Table5" displayName="Table5" ref="A4:M52" totalsRowShown="0" headerRowDxfId="59" dataDxfId="60">
  <autoFilter ref="A4:M52" xr:uid="{7F30903D-DB76-456B-8BC8-EEE53181783E}"/>
  <tableColumns count="13">
    <tableColumn id="1" xr3:uid="{D8196D84-6D74-4CEE-9B5B-A03760892F03}" name="# Transecto" dataDxfId="73"/>
    <tableColumn id="2" xr3:uid="{D30ABA68-C4A5-475C-B3CF-45E0D73CCFBC}" name="Coord. Inicio" dataDxfId="72"/>
    <tableColumn id="3" xr3:uid="{2F077881-3139-4F09-BF6E-8B60BA7A5AA4}" name="Coord. Final" dataDxfId="71"/>
    <tableColumn id="4" xr3:uid="{F1149128-903D-4F7D-AE39-CDB01B002C32}" name="Fecha" dataDxfId="70"/>
    <tableColumn id="5" xr3:uid="{1FFAC6F5-7CF0-402E-A94E-87001A25C314}" name="Hora" dataDxfId="69"/>
    <tableColumn id="6" xr3:uid="{2A9E7108-3276-4621-86BA-413DFBAEC02F}" name="Nombre común" dataDxfId="68"/>
    <tableColumn id="7" xr3:uid="{2D6CAD83-F700-4816-97C1-41339893C735}" name="Nombre científico" dataDxfId="67"/>
    <tableColumn id="8" xr3:uid="{3DEEC35B-C47D-433D-9DA1-945618526BC3}" name="#" dataDxfId="66"/>
    <tableColumn id="9" xr3:uid="{169B56C7-D46A-47B2-9F92-9BE733F02624}" name="Habitat condición" dataDxfId="65"/>
    <tableColumn id="10" xr3:uid="{EF2D31C6-73E8-4B25-9E17-B68664165B66}" name="Ecosystem Type" dataDxfId="64"/>
    <tableColumn id="11" xr3:uid="{E64E62C3-57D2-4054-8D36-5B1FD36DF1D4}" name="Observaciones (Huellas, otros)" dataDxfId="63"/>
    <tableColumn id="12" xr3:uid="{26F34F4C-0B84-424E-8FEF-923F9AB10078}" name="Ids fotos" dataDxfId="62"/>
    <tableColumn id="13" xr3:uid="{66D85A91-4BD8-4919-A543-37C82E3B2561}" name="Notas sobre la observación/ sexo" dataDxfId="6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0C63C1-660C-4063-8824-D83ADFF9F5FE}" name="Table1" displayName="Table1" ref="A4:M38" totalsRowShown="0" headerRowDxfId="119" dataDxfId="120">
  <autoFilter ref="A4:M38" xr:uid="{5F0C63C1-660C-4063-8824-D83ADFF9F5FE}"/>
  <tableColumns count="13">
    <tableColumn id="1" xr3:uid="{01FA111D-4835-4907-BDB2-9F1CCEC0B334}" name="# Transecto" dataDxfId="133"/>
    <tableColumn id="2" xr3:uid="{D4CC7903-CDA6-4637-AD3E-3FD7C9C2096B}" name="Coord. Inicio" dataDxfId="132"/>
    <tableColumn id="3" xr3:uid="{C405B28F-B2C2-4EC1-BA98-B75BBA73C308}" name="Coord. Final" dataDxfId="131"/>
    <tableColumn id="4" xr3:uid="{39777A3C-FE3A-457C-BFA3-E9C28FFE696C}" name="Fecha" dataDxfId="130"/>
    <tableColumn id="5" xr3:uid="{510237BA-85B4-4F33-8A7E-2AB08F78B7A3}" name="Hora" dataDxfId="129"/>
    <tableColumn id="6" xr3:uid="{7237964B-1013-4023-AB00-147167D1BBD2}" name="Nombre común" dataDxfId="128"/>
    <tableColumn id="7" xr3:uid="{72EF12F9-3014-45E4-9046-6260F8E72D64}" name="Nombre científico" dataDxfId="127"/>
    <tableColumn id="8" xr3:uid="{0E65B96B-87F5-4D42-BF5D-9A6D9A03B436}" name="#" dataDxfId="126"/>
    <tableColumn id="9" xr3:uid="{A7349E2A-758E-4FDF-BA2D-2863886175B9}" name="Habitat condición" dataDxfId="125"/>
    <tableColumn id="10" xr3:uid="{073B2522-214E-431C-808F-E2B9A5844A82}" name="Ecosystem Type" dataDxfId="124"/>
    <tableColumn id="11" xr3:uid="{74F520F7-0B7D-4B0F-B101-63446735087E}" name="Observaciones (Huellas, otros)" dataDxfId="123"/>
    <tableColumn id="12" xr3:uid="{B288F3CA-5C2F-4AD3-9403-07D208440C82}" name="Ids fotos" dataDxfId="122"/>
    <tableColumn id="13" xr3:uid="{8A2AFDC1-8DDF-4E34-B747-248F0F453BD5}" name="Notas sobre la observación/ sexo" dataDxfId="12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CDA112-338F-46AE-B20C-05F4DEEAA701}" name="Table2" displayName="Table2" ref="A4:M39" totalsRowShown="0" headerRowDxfId="104" dataDxfId="105">
  <autoFilter ref="A4:M39" xr:uid="{46CDA112-338F-46AE-B20C-05F4DEEAA701}">
    <filterColumn colId="9">
      <filters>
        <filter val="2.1. Savanna - Dry"/>
      </filters>
    </filterColumn>
  </autoFilter>
  <tableColumns count="13">
    <tableColumn id="1" xr3:uid="{AB098CC8-E160-4C89-A348-F1A97421BD8B}" name="# Transecto" dataDxfId="118"/>
    <tableColumn id="2" xr3:uid="{A6AA9CAE-FD66-4301-9E5F-3FD566D3ADC3}" name="Coord. Inicio" dataDxfId="117"/>
    <tableColumn id="3" xr3:uid="{C3E1AA5C-F9E6-4039-A705-3D84FF5EC23E}" name="Coord. Final" dataDxfId="116"/>
    <tableColumn id="4" xr3:uid="{AC2D6D10-85F4-4C4D-AFDB-50FECC17D4AB}" name="Fecha" dataDxfId="115"/>
    <tableColumn id="5" xr3:uid="{0AB32723-646B-4CDB-A1B1-B893250927C7}" name="Hora" dataDxfId="114"/>
    <tableColumn id="6" xr3:uid="{1DCCECCC-2BD1-48C8-8CF8-53E900A6EC82}" name="Nombre común" dataDxfId="113"/>
    <tableColumn id="7" xr3:uid="{30F2FEBC-E558-4990-A5FA-B3CCFD1735F7}" name="Nombre científico" dataDxfId="112"/>
    <tableColumn id="8" xr3:uid="{A2B5393B-FCD1-4263-A6B0-056A5DC74C7B}" name="#" dataDxfId="111"/>
    <tableColumn id="9" xr3:uid="{92D991A7-896E-4104-8D4D-DE23B0B92E2B}" name="Habitat condición" dataDxfId="110"/>
    <tableColumn id="10" xr3:uid="{45D60C02-E269-4E88-9236-BB37DDFC48AD}" name="Ecosystem Type" dataDxfId="109"/>
    <tableColumn id="11" xr3:uid="{F2837399-C6CD-43A4-B48C-49A6AEC0CB9E}" name="Observaciones (Huellas, otros)" dataDxfId="108"/>
    <tableColumn id="12" xr3:uid="{27DDBAB8-B77C-4AB9-A1D6-C936FABE17E4}" name="Ids fotos" dataDxfId="107"/>
    <tableColumn id="13" xr3:uid="{79A703BB-BEC8-4609-8BBC-145224659E15}" name="Notas sobre la observación/ sexo" dataDxfId="10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A409DB-2745-4458-A6C2-7A5ADD626AFF}" name="Table3" displayName="Table3" ref="A4:M21" totalsRowShown="0" headerRowDxfId="89" dataDxfId="90">
  <autoFilter ref="A4:M21" xr:uid="{41A409DB-2745-4458-A6C2-7A5ADD626AFF}"/>
  <tableColumns count="13">
    <tableColumn id="1" xr3:uid="{797989B7-C241-42C4-9066-D91E21B200ED}" name="# Transecto" dataDxfId="103"/>
    <tableColumn id="2" xr3:uid="{E0750A5D-6358-4125-988B-0B8D5E04B92D}" name="Coord. Inicio" dataDxfId="102"/>
    <tableColumn id="3" xr3:uid="{DDE0A481-152E-4576-B1A1-DD96D7A3D43E}" name="Coord. Final" dataDxfId="101"/>
    <tableColumn id="4" xr3:uid="{107787AC-6185-444E-B386-86AED36273C7}" name="Fecha" dataDxfId="100"/>
    <tableColumn id="5" xr3:uid="{8E5EF84D-3D95-4E95-8D64-F780DEA56D91}" name="Hora" dataDxfId="99"/>
    <tableColumn id="6" xr3:uid="{C9874E13-177B-4F36-9E67-6F1AE11A3509}" name="Nombre común" dataDxfId="98"/>
    <tableColumn id="7" xr3:uid="{8601BC8D-47A8-4C25-8606-4237046C4D40}" name="Nombre científico" dataDxfId="97"/>
    <tableColumn id="8" xr3:uid="{0C8FA70D-2B17-4409-90DF-B9DAD8F3AAF4}" name="#" dataDxfId="96"/>
    <tableColumn id="9" xr3:uid="{16132924-E57E-442E-B281-A33F53D60BCF}" name="Habitat condición" dataDxfId="95"/>
    <tableColumn id="10" xr3:uid="{DCFF2332-D5E3-4AD0-BBB5-AFCB521F8949}" name="Ecosystem Type" dataDxfId="94"/>
    <tableColumn id="11" xr3:uid="{E2BC4045-3F99-4BDD-B8D2-CF55D0745BFB}" name="Observaciones (Huellas, otros)" dataDxfId="93"/>
    <tableColumn id="12" xr3:uid="{14DF0AA1-DBC5-42DE-AD68-6F57F0D39155}" name="Ids fotos" dataDxfId="92"/>
    <tableColumn id="13" xr3:uid="{A289093E-3B73-40A5-B380-802AA488CC36}" name="Notas sobre la observación/ sexo" dataDxfId="91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41351A-833A-45A2-A244-325C3623D634}" name="Table4" displayName="Table4" ref="A4:M23" totalsRowShown="0" headerRowDxfId="75" dataDxfId="76">
  <autoFilter ref="A4:M23" xr:uid="{DD41351A-833A-45A2-A244-325C3623D634}">
    <filterColumn colId="9">
      <filters>
        <filter val="2.1. Savanna - Dry"/>
      </filters>
    </filterColumn>
  </autoFilter>
  <tableColumns count="13">
    <tableColumn id="1" xr3:uid="{D055BB09-8F68-4067-90CB-16E679256FCF}" name="# Transecto" dataDxfId="88"/>
    <tableColumn id="2" xr3:uid="{94E975C0-101B-4473-B63E-43B44A5B19A8}" name="Coord. Inicio" dataDxfId="87"/>
    <tableColumn id="3" xr3:uid="{C4A0CB6F-4277-4F8A-950D-EA7BCF963ACE}" name="Coord. Final" dataDxfId="86"/>
    <tableColumn id="4" xr3:uid="{E0697412-9FF8-48D0-89E5-CE8E664EF52D}" name="Fecha" dataDxfId="85"/>
    <tableColumn id="5" xr3:uid="{28400A0F-B844-4E27-858F-C3EAECD79713}" name="Hora" dataDxfId="84"/>
    <tableColumn id="6" xr3:uid="{3F99626B-44CA-42C7-85BE-8FE1EF80984A}" name="Nombre común" dataDxfId="83"/>
    <tableColumn id="7" xr3:uid="{3BBBF8C7-BF74-4608-BD56-1A04C8BDC73D}" name="Nombre científico" dataDxfId="82"/>
    <tableColumn id="8" xr3:uid="{93A239F1-996C-4568-829D-8A291C907E51}" name="#" dataDxfId="81"/>
    <tableColumn id="9" xr3:uid="{EFB640C3-107E-4A28-873D-75915E6B8414}" name="Habitat condición" dataDxfId="80"/>
    <tableColumn id="10" xr3:uid="{031A39FC-973D-4023-8CD1-6E3CE2DB03EE}" name="Ecosystem Type" dataDxfId="74"/>
    <tableColumn id="11" xr3:uid="{948BF3C8-3266-4F59-AD96-228F3DDFDFBD}" name="Observaciones (Huellas, otros)" dataDxfId="79"/>
    <tableColumn id="12" xr3:uid="{BC05845B-5F06-4AA5-A65C-58B7C5B1D079}" name="Ids fotos" dataDxfId="78"/>
    <tableColumn id="13" xr3:uid="{EF8DA270-A55E-4699-A6B6-454FA88A8B60}" name="Notas sobre la observación/ sexo" dataDxfId="7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D6008-9E44-4F0A-BA0F-F0A0A2095BBB}">
  <dimension ref="A1:S1048574"/>
  <sheetViews>
    <sheetView zoomScale="94" workbookViewId="0">
      <selection activeCell="G5" sqref="G5:G6"/>
    </sheetView>
  </sheetViews>
  <sheetFormatPr defaultColWidth="11.5546875" defaultRowHeight="14.4" x14ac:dyDescent="0.3"/>
  <cols>
    <col min="1" max="1" width="15.6640625" bestFit="1" customWidth="1"/>
    <col min="2" max="3" width="22.44140625" bestFit="1" customWidth="1"/>
    <col min="4" max="4" width="20.109375" bestFit="1" customWidth="1"/>
    <col min="5" max="5" width="7.77734375" customWidth="1"/>
    <col min="6" max="6" width="34.33203125" bestFit="1" customWidth="1"/>
    <col min="7" max="7" width="29.109375" bestFit="1" customWidth="1"/>
    <col min="8" max="8" width="6.5546875" customWidth="1"/>
    <col min="9" max="9" width="36.44140625" style="16" customWidth="1"/>
    <col min="10" max="10" width="35.88671875" bestFit="1" customWidth="1"/>
    <col min="11" max="11" width="33.109375" customWidth="1"/>
    <col min="12" max="12" width="33" bestFit="1" customWidth="1"/>
    <col min="13" max="13" width="34.88671875" customWidth="1"/>
  </cols>
  <sheetData>
    <row r="1" spans="1:19" ht="15.6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G1" s="1"/>
      <c r="H1" s="1"/>
      <c r="I1" s="13"/>
      <c r="J1" s="1"/>
      <c r="K1" s="1"/>
    </row>
    <row r="2" spans="1:19" ht="15.6" x14ac:dyDescent="0.3">
      <c r="A2" s="1" t="s">
        <v>13</v>
      </c>
      <c r="B2" s="1" t="s">
        <v>14</v>
      </c>
      <c r="C2" s="1"/>
      <c r="D2" s="1" t="s">
        <v>16</v>
      </c>
      <c r="E2" s="1"/>
      <c r="F2" s="1"/>
      <c r="G2" s="1"/>
      <c r="H2" s="1"/>
      <c r="I2" s="13"/>
      <c r="J2" s="1"/>
      <c r="K2" s="1"/>
    </row>
    <row r="3" spans="1:19" ht="15.6" x14ac:dyDescent="0.3">
      <c r="A3" s="1"/>
      <c r="B3" s="1"/>
      <c r="C3" s="1"/>
      <c r="D3" s="1"/>
      <c r="E3" s="1"/>
      <c r="F3" s="1"/>
      <c r="G3" s="1"/>
      <c r="H3" s="1"/>
      <c r="I3" s="13"/>
      <c r="J3" s="1"/>
      <c r="K3" s="1"/>
      <c r="L3" s="1"/>
      <c r="M3" s="1"/>
      <c r="N3" s="1"/>
      <c r="O3" s="1"/>
    </row>
    <row r="4" spans="1:19" ht="15.6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15" t="s">
        <v>407</v>
      </c>
      <c r="J4" s="8" t="s">
        <v>9</v>
      </c>
      <c r="K4" s="8" t="s">
        <v>10</v>
      </c>
      <c r="L4" s="8" t="s">
        <v>11</v>
      </c>
      <c r="M4" s="8" t="s">
        <v>12</v>
      </c>
      <c r="N4" s="8"/>
      <c r="O4" s="8"/>
      <c r="P4" s="3"/>
      <c r="Q4" s="1"/>
      <c r="R4" s="1"/>
      <c r="S4" s="1"/>
    </row>
    <row r="5" spans="1:19" ht="15.6" x14ac:dyDescent="0.3">
      <c r="A5" s="1">
        <v>1</v>
      </c>
      <c r="B5" s="1" t="s">
        <v>26</v>
      </c>
      <c r="C5" s="1" t="s">
        <v>15</v>
      </c>
      <c r="D5" s="4">
        <v>45056</v>
      </c>
      <c r="E5" s="5">
        <v>0.76874999999999993</v>
      </c>
      <c r="F5" s="1" t="s">
        <v>17</v>
      </c>
      <c r="G5" s="7" t="s">
        <v>18</v>
      </c>
      <c r="H5" s="1">
        <v>1</v>
      </c>
      <c r="I5" s="14" t="s">
        <v>411</v>
      </c>
      <c r="J5" s="1" t="s">
        <v>19</v>
      </c>
      <c r="K5" s="1" t="s">
        <v>20</v>
      </c>
      <c r="L5" s="1"/>
      <c r="M5" s="1"/>
      <c r="N5" s="1"/>
      <c r="O5" s="1"/>
      <c r="P5" s="1"/>
      <c r="Q5" s="1"/>
      <c r="R5" s="1"/>
      <c r="S5" s="1"/>
    </row>
    <row r="6" spans="1:19" ht="15.6" x14ac:dyDescent="0.3">
      <c r="A6" s="1">
        <v>1</v>
      </c>
      <c r="B6" s="1" t="s">
        <v>26</v>
      </c>
      <c r="C6" s="1" t="s">
        <v>15</v>
      </c>
      <c r="D6" s="4">
        <v>45056</v>
      </c>
      <c r="E6" s="5">
        <v>0.76874999999999993</v>
      </c>
      <c r="F6" s="1" t="s">
        <v>21</v>
      </c>
      <c r="G6" s="7" t="s">
        <v>22</v>
      </c>
      <c r="H6" s="1">
        <v>1</v>
      </c>
      <c r="I6" s="14" t="s">
        <v>411</v>
      </c>
      <c r="J6" s="1" t="s">
        <v>19</v>
      </c>
      <c r="K6" s="1" t="s">
        <v>20</v>
      </c>
      <c r="L6" s="1" t="s">
        <v>240</v>
      </c>
      <c r="M6" s="1"/>
      <c r="N6" s="1"/>
      <c r="O6" s="1"/>
      <c r="P6" s="1"/>
      <c r="Q6" s="1"/>
      <c r="R6" s="1"/>
      <c r="S6" s="1"/>
    </row>
    <row r="7" spans="1:19" ht="28.8" x14ac:dyDescent="0.3">
      <c r="A7" s="1">
        <v>2</v>
      </c>
      <c r="B7" s="1" t="s">
        <v>15</v>
      </c>
      <c r="C7" s="1" t="s">
        <v>27</v>
      </c>
      <c r="D7" s="4">
        <v>45056</v>
      </c>
      <c r="E7" s="5">
        <v>0.80555555555555547</v>
      </c>
      <c r="F7" s="1" t="s">
        <v>28</v>
      </c>
      <c r="G7" s="7" t="s">
        <v>29</v>
      </c>
      <c r="H7" s="1">
        <v>3</v>
      </c>
      <c r="I7" s="14" t="s">
        <v>410</v>
      </c>
      <c r="J7" s="1" t="s">
        <v>19</v>
      </c>
      <c r="K7" s="1" t="s">
        <v>20</v>
      </c>
      <c r="L7" s="1"/>
      <c r="M7" s="1"/>
      <c r="N7" s="1"/>
      <c r="O7" s="1"/>
      <c r="P7" s="1"/>
      <c r="Q7" s="1"/>
      <c r="R7" s="1"/>
      <c r="S7" s="1"/>
    </row>
    <row r="8" spans="1:19" ht="28.8" x14ac:dyDescent="0.3">
      <c r="A8" s="1">
        <v>3</v>
      </c>
      <c r="B8" s="1" t="s">
        <v>30</v>
      </c>
      <c r="C8" s="1" t="s">
        <v>31</v>
      </c>
      <c r="D8" s="4">
        <v>45056</v>
      </c>
      <c r="E8" s="5">
        <v>0.84027777777777779</v>
      </c>
      <c r="F8" s="1" t="s">
        <v>32</v>
      </c>
      <c r="G8" s="7" t="s">
        <v>33</v>
      </c>
      <c r="H8" s="1">
        <v>1</v>
      </c>
      <c r="I8" s="14" t="s">
        <v>410</v>
      </c>
      <c r="J8" s="1" t="s">
        <v>19</v>
      </c>
      <c r="K8" s="1" t="s">
        <v>20</v>
      </c>
      <c r="L8" s="1" t="s">
        <v>241</v>
      </c>
      <c r="M8" s="1"/>
      <c r="N8" s="1"/>
      <c r="O8" s="1"/>
      <c r="P8" s="1"/>
      <c r="Q8" s="1"/>
      <c r="R8" s="1"/>
    </row>
    <row r="9" spans="1:19" ht="28.8" x14ac:dyDescent="0.3">
      <c r="A9" s="1">
        <v>3</v>
      </c>
      <c r="B9" s="1" t="s">
        <v>30</v>
      </c>
      <c r="C9" s="1" t="s">
        <v>31</v>
      </c>
      <c r="D9" s="4">
        <v>45056</v>
      </c>
      <c r="E9" s="5">
        <v>0.84027777777777779</v>
      </c>
      <c r="F9" s="1" t="s">
        <v>21</v>
      </c>
      <c r="G9" s="7" t="s">
        <v>22</v>
      </c>
      <c r="H9" s="1">
        <v>1</v>
      </c>
      <c r="I9" s="14" t="s">
        <v>410</v>
      </c>
      <c r="J9" s="1" t="s">
        <v>19</v>
      </c>
      <c r="K9" s="1" t="s">
        <v>20</v>
      </c>
      <c r="L9" s="1"/>
      <c r="M9" s="1"/>
      <c r="N9" s="1"/>
      <c r="O9" s="1"/>
      <c r="P9" s="1"/>
      <c r="Q9" s="1"/>
    </row>
    <row r="10" spans="1:19" ht="28.8" x14ac:dyDescent="0.3">
      <c r="A10" s="1">
        <v>4</v>
      </c>
      <c r="B10" s="1" t="s">
        <v>31</v>
      </c>
      <c r="C10" s="1" t="s">
        <v>39</v>
      </c>
      <c r="D10" s="4">
        <v>45056</v>
      </c>
      <c r="E10" s="5">
        <v>0.87152777777777779</v>
      </c>
      <c r="F10" s="1" t="s">
        <v>34</v>
      </c>
      <c r="G10" s="7" t="s">
        <v>35</v>
      </c>
      <c r="H10" s="1">
        <v>1</v>
      </c>
      <c r="I10" s="14" t="s">
        <v>410</v>
      </c>
      <c r="J10" s="1" t="s">
        <v>36</v>
      </c>
      <c r="K10" s="1" t="s">
        <v>20</v>
      </c>
      <c r="L10" s="1" t="s">
        <v>238</v>
      </c>
      <c r="M10" s="1"/>
      <c r="N10" s="1"/>
      <c r="O10" s="1"/>
      <c r="P10" s="1"/>
      <c r="Q10" s="1"/>
    </row>
    <row r="11" spans="1:19" ht="28.8" x14ac:dyDescent="0.3">
      <c r="A11" s="1">
        <v>4</v>
      </c>
      <c r="B11" s="1" t="s">
        <v>31</v>
      </c>
      <c r="C11" s="1" t="s">
        <v>39</v>
      </c>
      <c r="D11" s="4">
        <v>45056</v>
      </c>
      <c r="E11" s="5">
        <v>0.87152777777777779</v>
      </c>
      <c r="F11" s="1" t="s">
        <v>37</v>
      </c>
      <c r="G11" s="7" t="s">
        <v>38</v>
      </c>
      <c r="H11" s="1">
        <v>1</v>
      </c>
      <c r="I11" s="14" t="s">
        <v>410</v>
      </c>
      <c r="J11" s="1" t="s">
        <v>36</v>
      </c>
      <c r="K11" s="1" t="s">
        <v>20</v>
      </c>
      <c r="L11" s="1"/>
      <c r="M11" s="1"/>
      <c r="N11" s="1"/>
      <c r="O11" s="1"/>
      <c r="P11" s="1"/>
      <c r="Q11" s="1"/>
    </row>
    <row r="12" spans="1:19" ht="28.8" x14ac:dyDescent="0.3">
      <c r="A12" s="1">
        <v>5</v>
      </c>
      <c r="B12" s="1" t="s">
        <v>30</v>
      </c>
      <c r="C12" s="1" t="s">
        <v>31</v>
      </c>
      <c r="D12" s="4">
        <v>45057</v>
      </c>
      <c r="E12" s="5">
        <v>0.29166666666666669</v>
      </c>
      <c r="F12" s="1" t="s">
        <v>40</v>
      </c>
      <c r="G12" s="7" t="s">
        <v>41</v>
      </c>
      <c r="H12" s="1">
        <v>1</v>
      </c>
      <c r="I12" s="14" t="s">
        <v>410</v>
      </c>
      <c r="J12" s="1" t="s">
        <v>19</v>
      </c>
      <c r="K12" s="1" t="s">
        <v>20</v>
      </c>
      <c r="L12" s="1"/>
      <c r="M12" s="1"/>
      <c r="N12" s="1"/>
      <c r="O12" s="1"/>
      <c r="P12" s="1"/>
      <c r="Q12" s="1"/>
    </row>
    <row r="13" spans="1:19" ht="28.8" x14ac:dyDescent="0.3">
      <c r="A13" s="1">
        <v>5</v>
      </c>
      <c r="B13" s="1" t="s">
        <v>30</v>
      </c>
      <c r="C13" s="1" t="s">
        <v>31</v>
      </c>
      <c r="D13" s="4">
        <v>45057</v>
      </c>
      <c r="E13" s="5">
        <v>0.29166666666666669</v>
      </c>
      <c r="F13" s="1" t="s">
        <v>17</v>
      </c>
      <c r="G13" s="7" t="s">
        <v>18</v>
      </c>
      <c r="H13" s="1">
        <v>1</v>
      </c>
      <c r="I13" s="14" t="s">
        <v>410</v>
      </c>
      <c r="J13" s="1" t="s">
        <v>19</v>
      </c>
      <c r="K13" s="1" t="s">
        <v>20</v>
      </c>
      <c r="L13" s="1" t="s">
        <v>239</v>
      </c>
      <c r="M13" s="1"/>
      <c r="N13" s="1"/>
      <c r="O13" s="1"/>
      <c r="P13" s="1"/>
      <c r="Q13" s="1"/>
    </row>
    <row r="14" spans="1:19" ht="28.8" x14ac:dyDescent="0.3">
      <c r="A14" s="1">
        <v>6</v>
      </c>
      <c r="B14" s="1" t="s">
        <v>31</v>
      </c>
      <c r="C14" s="1" t="s">
        <v>39</v>
      </c>
      <c r="D14" s="4">
        <v>45057</v>
      </c>
      <c r="E14" s="5">
        <v>0.32291666666666669</v>
      </c>
      <c r="F14" s="1" t="s">
        <v>17</v>
      </c>
      <c r="G14" s="7" t="s">
        <v>18</v>
      </c>
      <c r="H14" s="1">
        <v>3</v>
      </c>
      <c r="I14" s="14" t="s">
        <v>410</v>
      </c>
      <c r="J14" s="1" t="s">
        <v>36</v>
      </c>
      <c r="K14" s="1" t="s">
        <v>20</v>
      </c>
      <c r="L14" s="1"/>
      <c r="M14" s="1"/>
      <c r="N14" s="1"/>
      <c r="O14" s="1"/>
      <c r="P14" s="1"/>
      <c r="Q14" s="1"/>
    </row>
    <row r="15" spans="1:19" ht="15.6" x14ac:dyDescent="0.3">
      <c r="A15" s="1"/>
      <c r="B15" s="1"/>
      <c r="C15" s="1"/>
      <c r="D15" s="3"/>
      <c r="E15" s="1"/>
      <c r="F15" s="1"/>
      <c r="G15" s="1"/>
      <c r="H15" s="1"/>
      <c r="I15" s="13"/>
      <c r="J15" s="1"/>
      <c r="K15" s="1"/>
      <c r="L15" s="1"/>
      <c r="M15" s="1"/>
      <c r="N15" s="1"/>
      <c r="O15" s="1"/>
      <c r="P15" s="1"/>
    </row>
    <row r="16" spans="1:19" ht="15.6" x14ac:dyDescent="0.3">
      <c r="A16" s="1"/>
      <c r="B16" s="1"/>
      <c r="C16" s="1"/>
      <c r="D16" s="3"/>
      <c r="E16" s="1"/>
      <c r="F16" s="1"/>
      <c r="G16" s="1"/>
      <c r="H16" s="1"/>
      <c r="I16" s="13"/>
      <c r="J16" s="1"/>
      <c r="K16" s="1"/>
      <c r="L16" s="1"/>
      <c r="M16" s="1"/>
      <c r="N16" s="1"/>
      <c r="O16" s="1"/>
      <c r="P16" s="1"/>
    </row>
    <row r="17" spans="1:16" ht="15.6" x14ac:dyDescent="0.3">
      <c r="A17" s="1"/>
      <c r="B17" s="1"/>
      <c r="C17" s="1"/>
      <c r="D17" s="3"/>
      <c r="E17" s="1"/>
      <c r="F17" s="1"/>
      <c r="G17" s="1"/>
      <c r="H17" s="1"/>
      <c r="I17" s="13"/>
      <c r="J17" s="1"/>
      <c r="K17" s="1"/>
      <c r="L17" s="1"/>
      <c r="M17" s="1"/>
      <c r="N17" s="1"/>
      <c r="O17" s="1"/>
      <c r="P17" s="1"/>
    </row>
    <row r="18" spans="1:16" ht="15.6" x14ac:dyDescent="0.3">
      <c r="A18" s="1"/>
      <c r="B18" s="1"/>
      <c r="C18" s="1"/>
      <c r="D18" s="3"/>
      <c r="E18" s="1"/>
      <c r="F18" s="1"/>
      <c r="G18" s="1"/>
      <c r="H18" s="1"/>
      <c r="I18" s="13"/>
      <c r="J18" s="1"/>
      <c r="K18" s="1"/>
      <c r="L18" s="1"/>
      <c r="M18" s="1"/>
      <c r="N18" s="1"/>
      <c r="O18" s="1"/>
      <c r="P18" s="1"/>
    </row>
    <row r="19" spans="1:16" ht="15.6" x14ac:dyDescent="0.3">
      <c r="A19" s="1"/>
      <c r="B19" s="1"/>
      <c r="C19" s="1"/>
      <c r="D19" s="3"/>
      <c r="E19" s="1"/>
      <c r="F19" s="1"/>
      <c r="G19" s="1"/>
      <c r="H19" s="1"/>
      <c r="I19" s="13"/>
      <c r="J19" s="1"/>
      <c r="K19" s="1"/>
      <c r="L19" s="1"/>
      <c r="M19" s="1"/>
      <c r="N19" s="1"/>
      <c r="O19" s="1"/>
      <c r="P19" s="1"/>
    </row>
    <row r="20" spans="1:16" ht="15.6" x14ac:dyDescent="0.3">
      <c r="A20" s="1"/>
      <c r="B20" s="1"/>
      <c r="C20" s="1"/>
      <c r="D20" s="3"/>
      <c r="E20" s="1"/>
      <c r="F20" s="1"/>
      <c r="G20" s="1"/>
      <c r="H20" s="1"/>
      <c r="I20" s="13"/>
      <c r="J20" s="1"/>
      <c r="K20" s="1"/>
      <c r="L20" s="1"/>
      <c r="M20" s="1"/>
      <c r="N20" s="1"/>
      <c r="O20" s="1"/>
      <c r="P20" s="1"/>
    </row>
    <row r="21" spans="1:16" ht="15.6" x14ac:dyDescent="0.3">
      <c r="A21" s="1"/>
      <c r="B21" s="1"/>
      <c r="C21" s="1"/>
      <c r="D21" s="3"/>
      <c r="E21" s="1"/>
      <c r="F21" s="1"/>
      <c r="G21" s="1"/>
      <c r="H21" s="1"/>
      <c r="I21" s="13"/>
      <c r="J21" s="1"/>
      <c r="K21" s="1"/>
      <c r="L21" s="1"/>
      <c r="M21" s="1"/>
      <c r="N21" s="1"/>
      <c r="O21" s="1"/>
      <c r="P21" s="1"/>
    </row>
    <row r="22" spans="1:16" ht="15.6" x14ac:dyDescent="0.3">
      <c r="A22" s="1"/>
      <c r="B22" s="1"/>
      <c r="C22" s="1"/>
      <c r="D22" s="3"/>
      <c r="E22" s="1"/>
      <c r="F22" s="1"/>
      <c r="G22" s="1"/>
      <c r="H22" s="1"/>
      <c r="I22" s="13"/>
      <c r="J22" s="1"/>
      <c r="K22" s="1"/>
      <c r="L22" s="1"/>
      <c r="M22" s="1"/>
      <c r="N22" s="1"/>
      <c r="O22" s="1"/>
      <c r="P22" s="1"/>
    </row>
    <row r="23" spans="1:16" ht="15.6" x14ac:dyDescent="0.3">
      <c r="A23" s="1"/>
      <c r="B23" s="1"/>
      <c r="C23" s="1"/>
      <c r="D23" s="3"/>
      <c r="E23" s="1"/>
      <c r="F23" s="1"/>
      <c r="G23" s="1"/>
      <c r="H23" s="1"/>
      <c r="I23" s="13"/>
      <c r="J23" s="1"/>
      <c r="K23" s="1"/>
      <c r="L23" s="1"/>
      <c r="M23" s="1"/>
      <c r="N23" s="1"/>
      <c r="O23" s="1"/>
      <c r="P23" s="1"/>
    </row>
    <row r="24" spans="1:16" ht="15.6" x14ac:dyDescent="0.3">
      <c r="A24" s="1"/>
      <c r="B24" s="1"/>
      <c r="C24" s="1"/>
      <c r="D24" s="3"/>
      <c r="E24" s="1"/>
      <c r="F24" s="1"/>
      <c r="G24" s="1"/>
      <c r="H24" s="1"/>
      <c r="I24" s="13"/>
      <c r="J24" s="1"/>
      <c r="K24" s="1"/>
      <c r="L24" s="1"/>
      <c r="M24" s="1"/>
      <c r="N24" s="1"/>
      <c r="O24" s="1"/>
      <c r="P24" s="1"/>
    </row>
    <row r="25" spans="1:16" ht="15.6" x14ac:dyDescent="0.3">
      <c r="A25" s="1"/>
      <c r="B25" s="1"/>
      <c r="C25" s="1"/>
      <c r="D25" s="3"/>
      <c r="E25" s="1"/>
      <c r="F25" s="1"/>
      <c r="G25" s="1"/>
      <c r="H25" s="1"/>
      <c r="I25" s="13"/>
      <c r="J25" s="1"/>
      <c r="K25" s="1"/>
      <c r="L25" s="1"/>
      <c r="M25" s="1"/>
      <c r="N25" s="1"/>
      <c r="O25" s="1"/>
      <c r="P25" s="1"/>
    </row>
    <row r="26" spans="1:16" ht="15.6" x14ac:dyDescent="0.3">
      <c r="A26" s="1"/>
      <c r="B26" s="1"/>
      <c r="C26" s="1"/>
      <c r="D26" s="3"/>
      <c r="E26" s="1"/>
      <c r="F26" s="1"/>
      <c r="G26" s="1"/>
      <c r="H26" s="1"/>
      <c r="I26" s="13"/>
      <c r="J26" s="1"/>
      <c r="K26" s="1"/>
      <c r="L26" s="1"/>
      <c r="M26" s="1"/>
      <c r="N26" s="1"/>
      <c r="O26" s="1"/>
      <c r="P26" s="1"/>
    </row>
    <row r="27" spans="1:16" ht="15.6" x14ac:dyDescent="0.3">
      <c r="A27" s="1"/>
      <c r="B27" s="1"/>
      <c r="C27" s="1"/>
      <c r="D27" s="3"/>
      <c r="E27" s="1"/>
      <c r="F27" s="1"/>
      <c r="G27" s="1"/>
      <c r="H27" s="1"/>
      <c r="I27" s="13"/>
      <c r="J27" s="1"/>
      <c r="K27" s="1"/>
      <c r="L27" s="1"/>
      <c r="M27" s="1"/>
      <c r="N27" s="1"/>
      <c r="O27" s="1"/>
      <c r="P27" s="1"/>
    </row>
    <row r="28" spans="1:16" ht="15.6" x14ac:dyDescent="0.3">
      <c r="A28" s="1"/>
      <c r="B28" s="1"/>
      <c r="C28" s="1"/>
      <c r="D28" s="3"/>
      <c r="E28" s="1"/>
      <c r="F28" s="1"/>
      <c r="G28" s="1"/>
      <c r="H28" s="1"/>
      <c r="I28" s="13"/>
      <c r="J28" s="1"/>
      <c r="K28" s="1"/>
      <c r="L28" s="1"/>
      <c r="M28" s="1"/>
      <c r="N28" s="1"/>
      <c r="O28" s="1"/>
      <c r="P28" s="1"/>
    </row>
    <row r="29" spans="1:16" ht="15.6" x14ac:dyDescent="0.3">
      <c r="A29" s="1"/>
      <c r="B29" s="1"/>
      <c r="C29" s="1"/>
      <c r="D29" s="3"/>
      <c r="E29" s="1"/>
      <c r="F29" s="1"/>
      <c r="G29" s="1"/>
      <c r="H29" s="1"/>
      <c r="I29" s="13"/>
      <c r="J29" s="1"/>
      <c r="K29" s="1"/>
      <c r="L29" s="1"/>
      <c r="M29" s="1"/>
      <c r="N29" s="1"/>
      <c r="O29" s="1"/>
      <c r="P29" s="1"/>
    </row>
    <row r="30" spans="1:16" ht="15.6" x14ac:dyDescent="0.3">
      <c r="A30" s="1"/>
      <c r="B30" s="1"/>
      <c r="C30" s="1"/>
      <c r="D30" s="3"/>
      <c r="E30" s="1"/>
      <c r="F30" s="1"/>
      <c r="G30" s="1"/>
      <c r="H30" s="1"/>
      <c r="I30" s="13"/>
      <c r="J30" s="1"/>
      <c r="K30" s="1"/>
      <c r="L30" s="1"/>
      <c r="M30" s="1"/>
      <c r="N30" s="1"/>
      <c r="O30" s="1"/>
      <c r="P30" s="1"/>
    </row>
    <row r="31" spans="1:16" ht="15.6" x14ac:dyDescent="0.3">
      <c r="A31" s="1"/>
      <c r="B31" s="1"/>
      <c r="C31" s="1"/>
      <c r="D31" s="3"/>
      <c r="E31" s="1"/>
      <c r="F31" s="1"/>
      <c r="G31" s="1"/>
      <c r="H31" s="1"/>
      <c r="I31" s="13"/>
      <c r="J31" s="1"/>
      <c r="K31" s="1"/>
      <c r="L31" s="1"/>
      <c r="M31" s="1"/>
      <c r="N31" s="1"/>
      <c r="O31" s="1"/>
      <c r="P31" s="1"/>
    </row>
    <row r="32" spans="1:16" ht="15.6" x14ac:dyDescent="0.3">
      <c r="A32" s="1"/>
      <c r="B32" s="1"/>
      <c r="C32" s="1"/>
      <c r="D32" s="3"/>
      <c r="E32" s="1"/>
      <c r="F32" s="1"/>
      <c r="G32" s="1"/>
      <c r="H32" s="1"/>
      <c r="I32" s="13"/>
      <c r="J32" s="1"/>
      <c r="K32" s="1"/>
      <c r="L32" s="1"/>
      <c r="M32" s="1"/>
      <c r="N32" s="1"/>
      <c r="O32" s="1"/>
      <c r="P32" s="1"/>
    </row>
    <row r="33" spans="1:16" ht="15.6" x14ac:dyDescent="0.3">
      <c r="A33" s="1"/>
      <c r="B33" s="1"/>
      <c r="C33" s="1"/>
      <c r="D33" s="3"/>
      <c r="E33" s="1"/>
      <c r="F33" s="1"/>
      <c r="G33" s="1"/>
      <c r="H33" s="1"/>
      <c r="I33" s="13"/>
      <c r="J33" s="1"/>
      <c r="K33" s="1"/>
      <c r="L33" s="1"/>
      <c r="M33" s="1"/>
      <c r="N33" s="1"/>
      <c r="O33" s="1"/>
      <c r="P33" s="1"/>
    </row>
    <row r="34" spans="1:16" ht="15.6" x14ac:dyDescent="0.3">
      <c r="A34" s="1"/>
      <c r="B34" s="1"/>
      <c r="C34" s="1"/>
      <c r="D34" s="3"/>
      <c r="E34" s="1"/>
      <c r="F34" s="1"/>
      <c r="G34" s="1"/>
      <c r="H34" s="1"/>
      <c r="I34" s="13"/>
      <c r="J34" s="1"/>
      <c r="K34" s="1"/>
      <c r="L34" s="1"/>
      <c r="M34" s="1"/>
      <c r="N34" s="1"/>
      <c r="O34" s="1"/>
      <c r="P34" s="1"/>
    </row>
    <row r="35" spans="1:16" ht="15.6" x14ac:dyDescent="0.3">
      <c r="A35" s="1"/>
      <c r="B35" s="1"/>
      <c r="C35" s="1"/>
      <c r="D35" s="3"/>
      <c r="E35" s="1"/>
      <c r="F35" s="1"/>
      <c r="G35" s="1"/>
      <c r="H35" s="1"/>
      <c r="I35" s="13"/>
      <c r="J35" s="1"/>
      <c r="K35" s="1"/>
      <c r="L35" s="1"/>
      <c r="M35" s="1"/>
      <c r="N35" s="1"/>
      <c r="O35" s="1"/>
      <c r="P35" s="1"/>
    </row>
    <row r="36" spans="1:16" ht="15.6" x14ac:dyDescent="0.3">
      <c r="A36" s="1"/>
      <c r="B36" s="1"/>
      <c r="C36" s="1"/>
      <c r="D36" s="3"/>
      <c r="E36" s="1"/>
      <c r="F36" s="1"/>
      <c r="G36" s="1"/>
      <c r="H36" s="1"/>
      <c r="I36" s="13"/>
      <c r="J36" s="1"/>
      <c r="K36" s="1"/>
      <c r="L36" s="1"/>
      <c r="M36" s="1"/>
      <c r="N36" s="1"/>
      <c r="O36" s="1"/>
      <c r="P36" s="1"/>
    </row>
    <row r="37" spans="1:16" ht="15.6" x14ac:dyDescent="0.3">
      <c r="A37" s="1"/>
      <c r="B37" s="1"/>
      <c r="C37" s="1"/>
      <c r="D37" s="3"/>
      <c r="E37" s="1"/>
      <c r="F37" s="1"/>
      <c r="G37" s="1"/>
      <c r="H37" s="1"/>
      <c r="I37" s="13"/>
      <c r="J37" s="1"/>
      <c r="K37" s="1"/>
      <c r="L37" s="1"/>
      <c r="M37" s="1"/>
      <c r="N37" s="1"/>
      <c r="O37" s="1"/>
      <c r="P37" s="1"/>
    </row>
    <row r="38" spans="1:16" ht="15.6" x14ac:dyDescent="0.3">
      <c r="A38" s="1"/>
      <c r="B38" s="1"/>
      <c r="C38" s="1"/>
      <c r="D38" s="3"/>
      <c r="E38" s="1"/>
      <c r="F38" s="1"/>
      <c r="G38" s="1"/>
      <c r="H38" s="1"/>
      <c r="I38" s="13"/>
      <c r="J38" s="1"/>
      <c r="K38" s="1"/>
      <c r="L38" s="1"/>
      <c r="M38" s="1"/>
      <c r="N38" s="1"/>
      <c r="O38" s="1"/>
      <c r="P38" s="1"/>
    </row>
    <row r="39" spans="1:16" ht="15.6" x14ac:dyDescent="0.3">
      <c r="A39" s="1"/>
      <c r="B39" s="1"/>
      <c r="C39" s="1"/>
      <c r="D39" s="3"/>
      <c r="E39" s="1"/>
      <c r="F39" s="1"/>
      <c r="G39" s="1"/>
      <c r="H39" s="1"/>
      <c r="I39" s="13"/>
      <c r="J39" s="1"/>
      <c r="K39" s="1"/>
      <c r="L39" s="1"/>
      <c r="M39" s="1"/>
      <c r="N39" s="1"/>
      <c r="O39" s="1"/>
      <c r="P39" s="1"/>
    </row>
    <row r="40" spans="1:16" ht="15.6" x14ac:dyDescent="0.3">
      <c r="A40" s="1"/>
      <c r="B40" s="1"/>
      <c r="C40" s="1"/>
      <c r="D40" s="3"/>
      <c r="E40" s="1"/>
      <c r="F40" s="1"/>
      <c r="G40" s="1"/>
      <c r="H40" s="1"/>
      <c r="I40" s="13"/>
      <c r="J40" s="1"/>
      <c r="K40" s="1"/>
      <c r="L40" s="1"/>
      <c r="M40" s="1"/>
      <c r="N40" s="1"/>
      <c r="O40" s="1"/>
      <c r="P40" s="1"/>
    </row>
    <row r="41" spans="1:16" ht="15.6" x14ac:dyDescent="0.3">
      <c r="A41" s="1"/>
      <c r="B41" s="1"/>
      <c r="C41" s="1"/>
      <c r="D41" s="3"/>
      <c r="E41" s="1"/>
      <c r="F41" s="1"/>
      <c r="G41" s="1"/>
      <c r="H41" s="1"/>
      <c r="I41" s="13"/>
      <c r="J41" s="1"/>
      <c r="K41" s="1"/>
      <c r="L41" s="1"/>
      <c r="M41" s="1"/>
      <c r="N41" s="1"/>
      <c r="O41" s="1"/>
      <c r="P41" s="1"/>
    </row>
    <row r="42" spans="1:16" ht="15.6" x14ac:dyDescent="0.3">
      <c r="A42" s="1"/>
      <c r="B42" s="1"/>
      <c r="C42" s="1"/>
      <c r="D42" s="3"/>
      <c r="E42" s="1"/>
      <c r="F42" s="1"/>
      <c r="G42" s="1"/>
      <c r="H42" s="1"/>
      <c r="I42" s="13"/>
      <c r="J42" s="1"/>
      <c r="K42" s="1"/>
      <c r="L42" s="1"/>
      <c r="M42" s="1"/>
      <c r="N42" s="1"/>
      <c r="O42" s="1"/>
      <c r="P42" s="1"/>
    </row>
    <row r="43" spans="1:16" ht="15.6" x14ac:dyDescent="0.3">
      <c r="A43" s="1"/>
      <c r="B43" s="1"/>
      <c r="C43" s="1"/>
      <c r="D43" s="3"/>
      <c r="E43" s="1"/>
      <c r="F43" s="1"/>
      <c r="G43" s="1"/>
      <c r="H43" s="1"/>
      <c r="I43" s="13"/>
      <c r="J43" s="1"/>
      <c r="K43" s="1"/>
      <c r="L43" s="1"/>
      <c r="M43" s="1"/>
      <c r="N43" s="1"/>
      <c r="O43" s="1"/>
      <c r="P43" s="1"/>
    </row>
    <row r="44" spans="1:16" ht="15.6" x14ac:dyDescent="0.3">
      <c r="A44" s="1"/>
      <c r="B44" s="1"/>
      <c r="C44" s="1"/>
      <c r="D44" s="1"/>
      <c r="E44" s="1"/>
      <c r="F44" s="1"/>
      <c r="G44" s="1"/>
      <c r="H44" s="1"/>
      <c r="I44" s="13"/>
      <c r="J44" s="1"/>
      <c r="K44" s="1"/>
      <c r="L44" s="1"/>
      <c r="M44" s="1"/>
      <c r="N44" s="1"/>
      <c r="O44" s="1"/>
      <c r="P44" s="1"/>
    </row>
    <row r="45" spans="1:16" ht="15.6" x14ac:dyDescent="0.3">
      <c r="A45" s="1"/>
      <c r="B45" s="1"/>
      <c r="C45" s="1"/>
      <c r="D45" s="1"/>
      <c r="E45" s="1"/>
      <c r="F45" s="1"/>
      <c r="G45" s="1"/>
      <c r="H45" s="1"/>
      <c r="I45" s="13"/>
      <c r="J45" s="1"/>
      <c r="K45" s="1"/>
      <c r="L45" s="1"/>
      <c r="M45" s="1"/>
      <c r="N45" s="1"/>
      <c r="O45" s="1"/>
      <c r="P45" s="1"/>
    </row>
    <row r="46" spans="1:16" ht="15.6" x14ac:dyDescent="0.3">
      <c r="A46" s="1"/>
      <c r="B46" s="1"/>
      <c r="C46" s="1"/>
      <c r="D46" s="1"/>
      <c r="E46" s="1"/>
      <c r="F46" s="1"/>
      <c r="G46" s="1"/>
      <c r="H46" s="1"/>
      <c r="I46" s="13"/>
      <c r="J46" s="1"/>
      <c r="K46" s="1"/>
      <c r="L46" s="1"/>
      <c r="M46" s="1"/>
      <c r="N46" s="1"/>
      <c r="O46" s="1"/>
      <c r="P46" s="1"/>
    </row>
    <row r="47" spans="1:16" ht="15.6" x14ac:dyDescent="0.3">
      <c r="A47" s="1"/>
      <c r="B47" s="1"/>
      <c r="C47" s="1"/>
      <c r="D47" s="1"/>
      <c r="E47" s="1"/>
      <c r="F47" s="1"/>
      <c r="G47" s="1"/>
      <c r="H47" s="1"/>
      <c r="I47" s="13"/>
      <c r="J47" s="1"/>
      <c r="K47" s="1"/>
      <c r="L47" s="1"/>
      <c r="M47" s="1"/>
      <c r="N47" s="1"/>
      <c r="O47" s="1"/>
      <c r="P47" s="1"/>
    </row>
    <row r="48" spans="1:16" ht="15.6" x14ac:dyDescent="0.3">
      <c r="A48" s="1"/>
      <c r="B48" s="1"/>
      <c r="C48" s="1"/>
      <c r="D48" s="1"/>
      <c r="E48" s="1"/>
      <c r="F48" s="1"/>
      <c r="G48" s="1"/>
      <c r="H48" s="1"/>
      <c r="I48" s="13"/>
      <c r="J48" s="1"/>
      <c r="K48" s="1"/>
      <c r="L48" s="1"/>
      <c r="M48" s="1"/>
      <c r="N48" s="1"/>
      <c r="O48" s="1"/>
      <c r="P48" s="1"/>
    </row>
    <row r="49" spans="1:16" ht="15.6" x14ac:dyDescent="0.3">
      <c r="A49" s="1"/>
      <c r="B49" s="1"/>
      <c r="C49" s="1"/>
      <c r="D49" s="1"/>
      <c r="E49" s="1"/>
      <c r="F49" s="1"/>
      <c r="G49" s="1"/>
      <c r="H49" s="1"/>
      <c r="I49" s="13"/>
      <c r="J49" s="1"/>
      <c r="K49" s="1"/>
      <c r="L49" s="1"/>
      <c r="M49" s="1"/>
      <c r="N49" s="1"/>
      <c r="O49" s="1"/>
      <c r="P49" s="1"/>
    </row>
    <row r="50" spans="1:16" ht="15.6" x14ac:dyDescent="0.3">
      <c r="A50" s="1"/>
      <c r="B50" s="1"/>
      <c r="C50" s="1"/>
      <c r="D50" s="1"/>
      <c r="E50" s="1"/>
      <c r="F50" s="1"/>
      <c r="G50" s="1"/>
      <c r="H50" s="1"/>
      <c r="I50" s="13"/>
      <c r="J50" s="1"/>
      <c r="K50" s="1"/>
      <c r="L50" s="1"/>
      <c r="M50" s="1"/>
      <c r="N50" s="1"/>
      <c r="O50" s="1"/>
      <c r="P50" s="1"/>
    </row>
    <row r="51" spans="1:16" ht="15.6" x14ac:dyDescent="0.3">
      <c r="A51" s="1"/>
      <c r="B51" s="1"/>
      <c r="C51" s="1"/>
      <c r="D51" s="1"/>
      <c r="E51" s="1"/>
      <c r="F51" s="1"/>
      <c r="G51" s="1"/>
      <c r="H51" s="1"/>
      <c r="I51" s="13"/>
      <c r="J51" s="1"/>
      <c r="K51" s="1"/>
      <c r="L51" s="1"/>
      <c r="M51" s="1"/>
      <c r="N51" s="1"/>
      <c r="O51" s="1"/>
      <c r="P51" s="1"/>
    </row>
    <row r="52" spans="1:16" ht="15.6" x14ac:dyDescent="0.3">
      <c r="A52" s="1"/>
      <c r="B52" s="1"/>
      <c r="C52" s="1"/>
      <c r="D52" s="1"/>
      <c r="E52" s="1"/>
      <c r="F52" s="1"/>
      <c r="G52" s="1"/>
      <c r="H52" s="1"/>
      <c r="I52" s="13"/>
      <c r="J52" s="1"/>
      <c r="K52" s="1"/>
      <c r="L52" s="1"/>
      <c r="M52" s="1"/>
      <c r="N52" s="1"/>
      <c r="O52" s="1"/>
      <c r="P52" s="1"/>
    </row>
    <row r="53" spans="1:16" ht="15.6" x14ac:dyDescent="0.3">
      <c r="A53" s="1"/>
      <c r="B53" s="1"/>
      <c r="C53" s="1"/>
      <c r="D53" s="1"/>
      <c r="E53" s="1"/>
      <c r="F53" s="1"/>
      <c r="G53" s="1"/>
      <c r="H53" s="1"/>
      <c r="I53" s="13"/>
      <c r="J53" s="1"/>
      <c r="K53" s="1"/>
      <c r="L53" s="1"/>
      <c r="M53" s="1"/>
      <c r="N53" s="1"/>
      <c r="O53" s="1"/>
      <c r="P53" s="1"/>
    </row>
    <row r="54" spans="1:16" ht="15.6" x14ac:dyDescent="0.3">
      <c r="A54" s="1"/>
      <c r="B54" s="1"/>
      <c r="C54" s="1"/>
      <c r="D54" s="1"/>
      <c r="E54" s="1"/>
      <c r="F54" s="1"/>
      <c r="G54" s="1"/>
      <c r="H54" s="1"/>
      <c r="I54" s="13"/>
      <c r="J54" s="1"/>
      <c r="K54" s="1"/>
      <c r="L54" s="1"/>
      <c r="M54" s="1"/>
      <c r="N54" s="1"/>
      <c r="O54" s="1"/>
      <c r="P54" s="1"/>
    </row>
    <row r="55" spans="1:16" ht="15.6" x14ac:dyDescent="0.3">
      <c r="A55" s="1"/>
      <c r="B55" s="1"/>
      <c r="C55" s="1"/>
      <c r="D55" s="1"/>
      <c r="E55" s="1"/>
      <c r="F55" s="1"/>
      <c r="G55" s="1"/>
      <c r="H55" s="1"/>
      <c r="I55" s="13"/>
      <c r="J55" s="1"/>
      <c r="K55" s="1"/>
      <c r="L55" s="1"/>
      <c r="M55" s="1"/>
      <c r="N55" s="1"/>
      <c r="O55" s="1"/>
      <c r="P55" s="1"/>
    </row>
    <row r="56" spans="1:16" ht="15.6" x14ac:dyDescent="0.3">
      <c r="A56" s="1"/>
      <c r="B56" s="1"/>
      <c r="C56" s="1"/>
      <c r="D56" s="1"/>
      <c r="E56" s="1"/>
      <c r="F56" s="1"/>
      <c r="G56" s="1"/>
      <c r="H56" s="1"/>
      <c r="I56" s="13"/>
      <c r="J56" s="1"/>
      <c r="K56" s="1"/>
      <c r="L56" s="1"/>
      <c r="M56" s="1"/>
      <c r="N56" s="1"/>
      <c r="O56" s="1"/>
      <c r="P56" s="1"/>
    </row>
    <row r="57" spans="1:16" ht="15.6" x14ac:dyDescent="0.3">
      <c r="A57" s="1"/>
      <c r="B57" s="1"/>
      <c r="C57" s="1"/>
      <c r="D57" s="1"/>
      <c r="E57" s="1"/>
      <c r="F57" s="1"/>
      <c r="G57" s="1"/>
      <c r="H57" s="1"/>
      <c r="I57" s="13"/>
      <c r="J57" s="1"/>
      <c r="K57" s="1"/>
      <c r="L57" s="1"/>
      <c r="M57" s="1"/>
      <c r="N57" s="1"/>
      <c r="O57" s="1"/>
      <c r="P57" s="1"/>
    </row>
    <row r="58" spans="1:16" ht="15.6" x14ac:dyDescent="0.3">
      <c r="A58" s="1"/>
      <c r="B58" s="1"/>
      <c r="C58" s="1"/>
      <c r="D58" s="1"/>
      <c r="E58" s="1"/>
      <c r="F58" s="1"/>
      <c r="G58" s="1"/>
      <c r="H58" s="1"/>
      <c r="I58" s="13"/>
      <c r="J58" s="1"/>
      <c r="K58" s="1"/>
      <c r="L58" s="1"/>
      <c r="M58" s="1"/>
      <c r="N58" s="1"/>
      <c r="O58" s="1"/>
      <c r="P58" s="1"/>
    </row>
    <row r="59" spans="1:16" ht="15.6" x14ac:dyDescent="0.3">
      <c r="A59" s="1"/>
      <c r="B59" s="1"/>
      <c r="C59" s="1"/>
      <c r="D59" s="1"/>
      <c r="E59" s="1"/>
      <c r="F59" s="1"/>
      <c r="G59" s="1"/>
      <c r="H59" s="1"/>
      <c r="I59" s="13"/>
      <c r="J59" s="1"/>
      <c r="K59" s="1"/>
      <c r="L59" s="1"/>
      <c r="M59" s="1"/>
      <c r="N59" s="1"/>
      <c r="O59" s="1"/>
      <c r="P59" s="1"/>
    </row>
    <row r="60" spans="1:16" ht="15.6" x14ac:dyDescent="0.3">
      <c r="A60" s="1"/>
      <c r="B60" s="1"/>
      <c r="C60" s="1"/>
      <c r="D60" s="1"/>
      <c r="E60" s="1"/>
      <c r="F60" s="1"/>
      <c r="G60" s="1"/>
      <c r="H60" s="1"/>
      <c r="I60" s="13"/>
      <c r="J60" s="1"/>
      <c r="K60" s="1"/>
      <c r="L60" s="1"/>
      <c r="M60" s="1"/>
      <c r="N60" s="1"/>
      <c r="O60" s="1"/>
      <c r="P60" s="1"/>
    </row>
    <row r="61" spans="1:16" ht="15.6" x14ac:dyDescent="0.3">
      <c r="A61" s="1"/>
      <c r="B61" s="1"/>
      <c r="C61" s="1"/>
      <c r="D61" s="1"/>
      <c r="E61" s="1"/>
      <c r="F61" s="1"/>
      <c r="G61" s="1"/>
      <c r="H61" s="1"/>
      <c r="I61" s="13"/>
      <c r="J61" s="1"/>
      <c r="K61" s="1"/>
      <c r="L61" s="1"/>
      <c r="M61" s="1"/>
      <c r="N61" s="1"/>
      <c r="O61" s="1"/>
      <c r="P61" s="1"/>
    </row>
    <row r="62" spans="1:16" ht="15.6" x14ac:dyDescent="0.3">
      <c r="A62" s="1"/>
      <c r="B62" s="1"/>
      <c r="C62" s="1"/>
      <c r="D62" s="1"/>
      <c r="E62" s="1"/>
      <c r="F62" s="1"/>
      <c r="G62" s="1"/>
      <c r="H62" s="1"/>
      <c r="I62" s="13"/>
      <c r="J62" s="1"/>
      <c r="K62" s="1"/>
      <c r="L62" s="1"/>
      <c r="M62" s="1"/>
      <c r="N62" s="1"/>
      <c r="O62" s="1"/>
      <c r="P62" s="1"/>
    </row>
    <row r="63" spans="1:16" ht="15.6" x14ac:dyDescent="0.3">
      <c r="A63" s="1"/>
      <c r="B63" s="1"/>
      <c r="C63" s="1"/>
      <c r="D63" s="1"/>
      <c r="E63" s="1"/>
      <c r="F63" s="1"/>
      <c r="G63" s="1"/>
      <c r="H63" s="1"/>
      <c r="I63" s="13"/>
      <c r="J63" s="1"/>
      <c r="K63" s="1"/>
      <c r="L63" s="1"/>
      <c r="M63" s="1"/>
      <c r="N63" s="1"/>
      <c r="O63" s="1"/>
      <c r="P63" s="1"/>
    </row>
    <row r="64" spans="1:16" ht="15.6" x14ac:dyDescent="0.3">
      <c r="A64" s="1"/>
      <c r="B64" s="1"/>
      <c r="C64" s="1"/>
      <c r="D64" s="1"/>
      <c r="E64" s="1"/>
      <c r="F64" s="1"/>
      <c r="G64" s="1"/>
      <c r="H64" s="1"/>
      <c r="I64" s="13"/>
      <c r="J64" s="1"/>
      <c r="K64" s="1"/>
      <c r="L64" s="1"/>
      <c r="M64" s="1"/>
      <c r="N64" s="1"/>
      <c r="O64" s="1"/>
      <c r="P64" s="1"/>
    </row>
    <row r="65" spans="1:16" ht="15.6" x14ac:dyDescent="0.3">
      <c r="A65" s="1"/>
      <c r="B65" s="1"/>
      <c r="C65" s="1"/>
      <c r="D65" s="1"/>
      <c r="E65" s="1"/>
      <c r="F65" s="1"/>
      <c r="G65" s="1"/>
      <c r="H65" s="1"/>
      <c r="I65" s="13"/>
      <c r="J65" s="1"/>
      <c r="K65" s="1"/>
      <c r="L65" s="1"/>
      <c r="M65" s="1"/>
      <c r="N65" s="1"/>
      <c r="O65" s="1"/>
      <c r="P65" s="1"/>
    </row>
    <row r="66" spans="1:16" ht="15.6" x14ac:dyDescent="0.3">
      <c r="A66" s="1"/>
      <c r="B66" s="1"/>
      <c r="C66" s="1"/>
      <c r="D66" s="1"/>
      <c r="E66" s="1"/>
      <c r="F66" s="1"/>
      <c r="G66" s="1"/>
      <c r="H66" s="1"/>
      <c r="I66" s="13"/>
      <c r="J66" s="1"/>
      <c r="K66" s="1"/>
      <c r="L66" s="1"/>
      <c r="M66" s="1"/>
      <c r="N66" s="1"/>
      <c r="O66" s="1"/>
      <c r="P66" s="1"/>
    </row>
    <row r="67" spans="1:16" ht="15.6" x14ac:dyDescent="0.3">
      <c r="A67" s="1"/>
      <c r="B67" s="1"/>
      <c r="C67" s="1"/>
      <c r="D67" s="1"/>
      <c r="E67" s="1"/>
      <c r="F67" s="1"/>
      <c r="G67" s="1"/>
      <c r="H67" s="1"/>
      <c r="I67" s="13"/>
      <c r="J67" s="1"/>
      <c r="K67" s="1"/>
      <c r="L67" s="1"/>
      <c r="M67" s="1"/>
      <c r="N67" s="1"/>
      <c r="O67" s="1"/>
      <c r="P67" s="1"/>
    </row>
    <row r="68" spans="1:16" ht="15.6" x14ac:dyDescent="0.3">
      <c r="A68" s="1"/>
      <c r="B68" s="1"/>
      <c r="C68" s="1"/>
      <c r="D68" s="1"/>
      <c r="E68" s="1"/>
      <c r="F68" s="1"/>
      <c r="G68" s="1"/>
      <c r="H68" s="1"/>
      <c r="I68" s="13"/>
      <c r="J68" s="1"/>
      <c r="K68" s="1"/>
      <c r="L68" s="1"/>
      <c r="M68" s="1"/>
      <c r="N68" s="1"/>
      <c r="O68" s="1"/>
      <c r="P68" s="1"/>
    </row>
    <row r="69" spans="1:16" ht="15.6" x14ac:dyDescent="0.3">
      <c r="A69" s="1"/>
      <c r="B69" s="1"/>
      <c r="C69" s="1"/>
      <c r="D69" s="1"/>
      <c r="E69" s="1"/>
      <c r="F69" s="1"/>
      <c r="G69" s="1"/>
      <c r="H69" s="1"/>
      <c r="I69" s="13"/>
      <c r="J69" s="1"/>
      <c r="K69" s="1"/>
      <c r="L69" s="1"/>
      <c r="M69" s="1"/>
      <c r="N69" s="1"/>
      <c r="O69" s="1"/>
      <c r="P69" s="1"/>
    </row>
    <row r="70" spans="1:16" ht="15.6" x14ac:dyDescent="0.3">
      <c r="A70" s="1"/>
      <c r="B70" s="1"/>
      <c r="C70" s="1"/>
      <c r="D70" s="1"/>
      <c r="E70" s="1"/>
      <c r="F70" s="1"/>
      <c r="G70" s="1"/>
      <c r="H70" s="1"/>
      <c r="I70" s="13"/>
      <c r="J70" s="1"/>
      <c r="K70" s="1"/>
      <c r="L70" s="1"/>
      <c r="M70" s="1"/>
      <c r="N70" s="1"/>
      <c r="O70" s="1"/>
      <c r="P70" s="1"/>
    </row>
    <row r="71" spans="1:16" ht="15.6" x14ac:dyDescent="0.3">
      <c r="A71" s="1"/>
      <c r="B71" s="1"/>
      <c r="C71" s="1"/>
      <c r="D71" s="1"/>
      <c r="E71" s="1"/>
      <c r="F71" s="1"/>
      <c r="G71" s="1"/>
      <c r="H71" s="1"/>
      <c r="I71" s="13"/>
      <c r="J71" s="1"/>
      <c r="K71" s="1"/>
      <c r="L71" s="1"/>
      <c r="M71" s="1"/>
      <c r="N71" s="1"/>
      <c r="O71" s="1"/>
      <c r="P71" s="1"/>
    </row>
    <row r="72" spans="1:16" ht="15.6" x14ac:dyDescent="0.3">
      <c r="A72" s="1"/>
      <c r="B72" s="1"/>
      <c r="C72" s="1"/>
      <c r="D72" s="1"/>
      <c r="E72" s="1"/>
      <c r="F72" s="1"/>
      <c r="G72" s="1"/>
      <c r="H72" s="1"/>
      <c r="I72" s="13"/>
      <c r="J72" s="1"/>
      <c r="K72" s="1"/>
      <c r="L72" s="1"/>
      <c r="M72" s="1"/>
      <c r="N72" s="1"/>
      <c r="O72" s="1"/>
      <c r="P72" s="1"/>
    </row>
    <row r="73" spans="1:16" ht="15.6" x14ac:dyDescent="0.3">
      <c r="A73" s="1"/>
      <c r="B73" s="1"/>
      <c r="C73" s="1"/>
      <c r="D73" s="1"/>
      <c r="E73" s="1"/>
      <c r="F73" s="1"/>
      <c r="G73" s="1"/>
      <c r="H73" s="1"/>
      <c r="I73" s="13"/>
      <c r="J73" s="1"/>
      <c r="K73" s="1"/>
      <c r="L73" s="1"/>
      <c r="M73" s="1"/>
      <c r="N73" s="1"/>
      <c r="O73" s="1"/>
      <c r="P73" s="1"/>
    </row>
    <row r="74" spans="1:16" ht="15.6" x14ac:dyDescent="0.3">
      <c r="A74" s="1"/>
      <c r="B74" s="1"/>
      <c r="C74" s="1"/>
      <c r="D74" s="1"/>
      <c r="E74" s="1"/>
      <c r="F74" s="1"/>
      <c r="G74" s="1"/>
      <c r="H74" s="1"/>
      <c r="I74" s="13"/>
      <c r="J74" s="1"/>
      <c r="K74" s="1"/>
      <c r="L74" s="1"/>
      <c r="M74" s="1"/>
      <c r="N74" s="1"/>
      <c r="O74" s="1"/>
      <c r="P74" s="1"/>
    </row>
    <row r="75" spans="1:16" ht="15.6" x14ac:dyDescent="0.3">
      <c r="A75" s="1"/>
      <c r="B75" s="1"/>
      <c r="C75" s="1"/>
      <c r="D75" s="1"/>
      <c r="E75" s="1"/>
      <c r="F75" s="1"/>
      <c r="G75" s="1"/>
      <c r="H75" s="1"/>
      <c r="I75" s="13"/>
      <c r="J75" s="1"/>
      <c r="K75" s="1"/>
      <c r="L75" s="1"/>
      <c r="M75" s="1"/>
      <c r="N75" s="1"/>
      <c r="O75" s="1"/>
      <c r="P75" s="1"/>
    </row>
    <row r="76" spans="1:16" ht="15.6" x14ac:dyDescent="0.3">
      <c r="A76" s="1"/>
      <c r="B76" s="1"/>
      <c r="C76" s="1"/>
      <c r="D76" s="1"/>
      <c r="E76" s="1"/>
      <c r="F76" s="1"/>
      <c r="G76" s="1"/>
      <c r="H76" s="1"/>
      <c r="I76" s="13"/>
      <c r="J76" s="1"/>
      <c r="K76" s="1"/>
      <c r="L76" s="1"/>
      <c r="M76" s="1"/>
      <c r="N76" s="1"/>
      <c r="O76" s="1"/>
      <c r="P76" s="1"/>
    </row>
    <row r="77" spans="1:16" ht="15.6" x14ac:dyDescent="0.3">
      <c r="A77" s="1"/>
      <c r="B77" s="1"/>
      <c r="C77" s="1"/>
      <c r="D77" s="1"/>
      <c r="E77" s="1"/>
      <c r="F77" s="1"/>
      <c r="G77" s="1"/>
      <c r="H77" s="1"/>
      <c r="I77" s="13"/>
      <c r="J77" s="1"/>
      <c r="K77" s="1"/>
      <c r="L77" s="1"/>
      <c r="M77" s="1"/>
      <c r="N77" s="1"/>
      <c r="O77" s="1"/>
      <c r="P77" s="1"/>
    </row>
    <row r="78" spans="1:16" ht="15.6" x14ac:dyDescent="0.3">
      <c r="A78" s="1"/>
      <c r="B78" s="1"/>
      <c r="C78" s="1"/>
      <c r="D78" s="1"/>
      <c r="E78" s="1"/>
      <c r="F78" s="1"/>
      <c r="G78" s="1"/>
      <c r="H78" s="1"/>
      <c r="I78" s="13"/>
      <c r="J78" s="1"/>
      <c r="K78" s="1"/>
      <c r="L78" s="1"/>
      <c r="M78" s="1"/>
      <c r="N78" s="1"/>
      <c r="O78" s="1"/>
      <c r="P78" s="1"/>
    </row>
    <row r="79" spans="1:16" ht="15.6" x14ac:dyDescent="0.3">
      <c r="A79" s="1"/>
      <c r="B79" s="1"/>
      <c r="C79" s="1"/>
      <c r="D79" s="1"/>
      <c r="E79" s="1"/>
      <c r="F79" s="1"/>
      <c r="G79" s="1"/>
      <c r="H79" s="1"/>
      <c r="I79" s="13"/>
      <c r="J79" s="1"/>
      <c r="K79" s="1"/>
      <c r="L79" s="1"/>
      <c r="M79" s="1"/>
      <c r="N79" s="1"/>
      <c r="O79" s="1"/>
      <c r="P79" s="1"/>
    </row>
    <row r="80" spans="1:16" ht="15.6" x14ac:dyDescent="0.3">
      <c r="A80" s="1"/>
      <c r="B80" s="1"/>
      <c r="C80" s="1"/>
      <c r="D80" s="1"/>
      <c r="E80" s="1"/>
      <c r="F80" s="1"/>
      <c r="G80" s="1"/>
      <c r="H80" s="1"/>
      <c r="I80" s="13"/>
      <c r="J80" s="1"/>
      <c r="K80" s="1"/>
      <c r="L80" s="1"/>
      <c r="M80" s="1"/>
      <c r="N80" s="1"/>
      <c r="O80" s="1"/>
      <c r="P80" s="1"/>
    </row>
    <row r="81" spans="1:16" ht="15.6" x14ac:dyDescent="0.3">
      <c r="A81" s="1"/>
      <c r="B81" s="1"/>
      <c r="C81" s="1"/>
      <c r="D81" s="1"/>
      <c r="E81" s="1"/>
      <c r="F81" s="1"/>
      <c r="G81" s="1"/>
      <c r="H81" s="1"/>
      <c r="I81" s="13"/>
      <c r="J81" s="1"/>
      <c r="K81" s="1"/>
      <c r="L81" s="1"/>
      <c r="M81" s="1"/>
      <c r="N81" s="1"/>
      <c r="O81" s="1"/>
      <c r="P81" s="1"/>
    </row>
    <row r="82" spans="1:16" ht="15.6" x14ac:dyDescent="0.3">
      <c r="A82" s="1"/>
      <c r="B82" s="1"/>
      <c r="C82" s="1"/>
      <c r="D82" s="1"/>
      <c r="E82" s="1"/>
      <c r="F82" s="1"/>
      <c r="G82" s="1"/>
      <c r="H82" s="1"/>
      <c r="I82" s="13"/>
      <c r="J82" s="1"/>
      <c r="K82" s="1"/>
      <c r="L82" s="1"/>
      <c r="M82" s="1"/>
      <c r="N82" s="1"/>
      <c r="O82" s="1"/>
      <c r="P82" s="1"/>
    </row>
    <row r="83" spans="1:16" ht="15.6" x14ac:dyDescent="0.3">
      <c r="A83" s="1"/>
      <c r="B83" s="1"/>
      <c r="C83" s="1"/>
      <c r="D83" s="1"/>
      <c r="E83" s="1"/>
      <c r="F83" s="1"/>
      <c r="G83" s="1"/>
      <c r="H83" s="1"/>
      <c r="I83" s="13"/>
      <c r="J83" s="1"/>
      <c r="K83" s="1"/>
      <c r="L83" s="1"/>
      <c r="M83" s="1"/>
      <c r="N83" s="1"/>
      <c r="O83" s="1"/>
      <c r="P83" s="1"/>
    </row>
    <row r="84" spans="1:16" ht="15.6" x14ac:dyDescent="0.3">
      <c r="A84" s="1"/>
      <c r="B84" s="1"/>
      <c r="C84" s="1"/>
      <c r="D84" s="1"/>
      <c r="E84" s="1"/>
      <c r="F84" s="1"/>
      <c r="G84" s="1"/>
      <c r="H84" s="1"/>
      <c r="I84" s="13"/>
      <c r="J84" s="1"/>
      <c r="K84" s="1"/>
      <c r="L84" s="1"/>
      <c r="M84" s="1"/>
      <c r="N84" s="1"/>
      <c r="O84" s="1"/>
      <c r="P84" s="1"/>
    </row>
    <row r="85" spans="1:16" ht="15.6" x14ac:dyDescent="0.3">
      <c r="A85" s="1"/>
      <c r="B85" s="1"/>
      <c r="C85" s="1"/>
      <c r="D85" s="1"/>
      <c r="E85" s="1"/>
      <c r="F85" s="1"/>
      <c r="G85" s="1"/>
      <c r="H85" s="1"/>
      <c r="I85" s="13"/>
      <c r="J85" s="1"/>
      <c r="K85" s="1"/>
      <c r="L85" s="1"/>
      <c r="M85" s="1"/>
      <c r="N85" s="1"/>
      <c r="O85" s="1"/>
      <c r="P85" s="1"/>
    </row>
    <row r="86" spans="1:16" ht="15.6" x14ac:dyDescent="0.3">
      <c r="A86" s="1"/>
      <c r="B86" s="1"/>
      <c r="C86" s="1"/>
      <c r="D86" s="1"/>
      <c r="E86" s="1"/>
      <c r="F86" s="1"/>
      <c r="G86" s="1"/>
      <c r="H86" s="1"/>
      <c r="I86" s="13"/>
      <c r="J86" s="1"/>
      <c r="K86" s="1"/>
      <c r="L86" s="1"/>
      <c r="M86" s="1"/>
      <c r="N86" s="1"/>
      <c r="O86" s="1"/>
      <c r="P86" s="1"/>
    </row>
    <row r="87" spans="1:16" ht="15.6" x14ac:dyDescent="0.3">
      <c r="A87" s="1"/>
      <c r="B87" s="1"/>
      <c r="C87" s="1"/>
      <c r="D87" s="1"/>
      <c r="E87" s="1"/>
      <c r="F87" s="1"/>
      <c r="G87" s="1"/>
      <c r="H87" s="1"/>
      <c r="I87" s="13"/>
      <c r="J87" s="1"/>
      <c r="K87" s="1"/>
      <c r="L87" s="1"/>
      <c r="M87" s="1"/>
      <c r="N87" s="1"/>
      <c r="O87" s="1"/>
      <c r="P87" s="1"/>
    </row>
    <row r="88" spans="1:16" ht="15.6" x14ac:dyDescent="0.3">
      <c r="A88" s="1"/>
      <c r="B88" s="1"/>
      <c r="C88" s="1"/>
      <c r="D88" s="1"/>
      <c r="E88" s="1"/>
      <c r="F88" s="1"/>
      <c r="G88" s="1"/>
      <c r="H88" s="1"/>
      <c r="I88" s="13"/>
      <c r="J88" s="1"/>
      <c r="K88" s="1"/>
      <c r="L88" s="1"/>
      <c r="M88" s="1"/>
      <c r="N88" s="1"/>
      <c r="O88" s="1"/>
      <c r="P88" s="1"/>
    </row>
    <row r="89" spans="1:16" ht="15.6" x14ac:dyDescent="0.3">
      <c r="A89" s="1"/>
      <c r="B89" s="1"/>
      <c r="C89" s="1"/>
      <c r="D89" s="1"/>
      <c r="E89" s="1"/>
      <c r="F89" s="1"/>
      <c r="G89" s="1"/>
      <c r="H89" s="1"/>
      <c r="I89" s="13"/>
      <c r="J89" s="1"/>
      <c r="K89" s="1"/>
      <c r="L89" s="1"/>
      <c r="M89" s="1"/>
      <c r="N89" s="1"/>
      <c r="O89" s="1"/>
      <c r="P89" s="1"/>
    </row>
    <row r="90" spans="1:16" ht="15.6" x14ac:dyDescent="0.3">
      <c r="A90" s="1"/>
      <c r="B90" s="1"/>
      <c r="C90" s="1"/>
      <c r="D90" s="1"/>
      <c r="E90" s="1"/>
      <c r="F90" s="1"/>
      <c r="G90" s="1"/>
      <c r="H90" s="1"/>
      <c r="I90" s="13"/>
      <c r="J90" s="1"/>
      <c r="K90" s="1"/>
      <c r="L90" s="1"/>
      <c r="M90" s="1"/>
      <c r="N90" s="1"/>
      <c r="O90" s="1"/>
      <c r="P90" s="1"/>
    </row>
    <row r="91" spans="1:16" ht="15.6" x14ac:dyDescent="0.3">
      <c r="A91" s="1"/>
      <c r="B91" s="1"/>
      <c r="C91" s="1"/>
      <c r="D91" s="1"/>
      <c r="E91" s="1"/>
      <c r="F91" s="1"/>
      <c r="G91" s="1"/>
      <c r="H91" s="1"/>
      <c r="I91" s="13"/>
      <c r="J91" s="1"/>
      <c r="K91" s="1"/>
      <c r="L91" s="1"/>
      <c r="M91" s="1"/>
      <c r="N91" s="1"/>
      <c r="O91" s="1"/>
      <c r="P91" s="1"/>
    </row>
    <row r="92" spans="1:16" ht="15.6" x14ac:dyDescent="0.3">
      <c r="A92" s="1"/>
      <c r="B92" s="1"/>
      <c r="C92" s="1"/>
      <c r="D92" s="1"/>
      <c r="E92" s="1"/>
      <c r="F92" s="1"/>
      <c r="G92" s="1"/>
      <c r="H92" s="1"/>
      <c r="I92" s="13"/>
      <c r="J92" s="1"/>
      <c r="K92" s="1"/>
      <c r="L92" s="1"/>
      <c r="M92" s="1"/>
      <c r="N92" s="1"/>
      <c r="O92" s="1"/>
      <c r="P92" s="1"/>
    </row>
    <row r="93" spans="1:16" ht="15.6" x14ac:dyDescent="0.3">
      <c r="A93" s="1"/>
      <c r="B93" s="1"/>
      <c r="C93" s="1"/>
      <c r="D93" s="1"/>
      <c r="E93" s="1"/>
      <c r="F93" s="1"/>
      <c r="G93" s="1"/>
      <c r="H93" s="1"/>
      <c r="I93" s="13"/>
      <c r="J93" s="1"/>
      <c r="K93" s="1"/>
      <c r="L93" s="1"/>
      <c r="M93" s="1"/>
      <c r="N93" s="1"/>
      <c r="O93" s="1"/>
      <c r="P93" s="1"/>
    </row>
    <row r="94" spans="1:16" ht="15.6" x14ac:dyDescent="0.3">
      <c r="A94" s="1"/>
      <c r="B94" s="1"/>
      <c r="C94" s="1"/>
      <c r="D94" s="1"/>
      <c r="E94" s="1"/>
      <c r="F94" s="1"/>
      <c r="G94" s="1"/>
      <c r="H94" s="1"/>
      <c r="I94" s="13"/>
      <c r="J94" s="1"/>
      <c r="K94" s="1"/>
      <c r="L94" s="1"/>
      <c r="M94" s="1"/>
      <c r="N94" s="1"/>
      <c r="O94" s="1"/>
      <c r="P94" s="1"/>
    </row>
    <row r="1048574" spans="10:10" ht="15.6" x14ac:dyDescent="0.3">
      <c r="J1048574" s="1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7948-93C2-4960-BD15-F641149CBB30}">
  <dimension ref="A1:AH125"/>
  <sheetViews>
    <sheetView workbookViewId="0">
      <selection activeCell="G5" sqref="G5:G36"/>
    </sheetView>
  </sheetViews>
  <sheetFormatPr defaultColWidth="11.5546875" defaultRowHeight="14.4" x14ac:dyDescent="0.3"/>
  <cols>
    <col min="1" max="1" width="15.6640625" style="2" bestFit="1" customWidth="1"/>
    <col min="2" max="3" width="22.44140625" style="2" bestFit="1" customWidth="1"/>
    <col min="4" max="4" width="20.109375" style="2" bestFit="1" customWidth="1"/>
    <col min="5" max="5" width="7.6640625" style="2" customWidth="1"/>
    <col min="6" max="6" width="34.33203125" bestFit="1" customWidth="1"/>
    <col min="7" max="7" width="29.109375" bestFit="1" customWidth="1"/>
    <col min="8" max="8" width="4.109375" bestFit="1" customWidth="1"/>
    <col min="9" max="9" width="38.109375" style="16" customWidth="1"/>
    <col min="10" max="10" width="35.88671875" bestFit="1" customWidth="1"/>
    <col min="11" max="11" width="31.5546875" customWidth="1"/>
    <col min="12" max="12" width="11" customWidth="1"/>
    <col min="13" max="13" width="33.44140625" customWidth="1"/>
  </cols>
  <sheetData>
    <row r="1" spans="1:34" ht="15.6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G1" s="1"/>
      <c r="H1" s="1"/>
      <c r="I1" s="13"/>
      <c r="J1" s="1"/>
      <c r="K1" s="1"/>
    </row>
    <row r="2" spans="1:34" ht="15.6" x14ac:dyDescent="0.3">
      <c r="A2" s="3" t="s">
        <v>13</v>
      </c>
      <c r="B2" s="3" t="s">
        <v>66</v>
      </c>
      <c r="C2" s="3"/>
      <c r="D2" s="3" t="s">
        <v>16</v>
      </c>
      <c r="E2" s="3"/>
      <c r="F2" s="1"/>
      <c r="G2" s="1"/>
      <c r="H2" s="1"/>
      <c r="I2" s="13"/>
      <c r="J2" s="1"/>
      <c r="K2" s="1"/>
    </row>
    <row r="3" spans="1:34" ht="15.6" x14ac:dyDescent="0.3">
      <c r="A3" s="3"/>
      <c r="B3" s="3"/>
      <c r="C3" s="3"/>
      <c r="D3" s="3"/>
      <c r="E3" s="3"/>
      <c r="F3" s="1"/>
      <c r="G3" s="1"/>
      <c r="H3" s="1"/>
      <c r="I3" s="13"/>
      <c r="J3" s="1"/>
      <c r="K3" s="1"/>
      <c r="L3" s="1"/>
      <c r="M3" s="1"/>
      <c r="N3" s="1"/>
    </row>
    <row r="4" spans="1:34" ht="15.6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15" t="s">
        <v>407</v>
      </c>
      <c r="J4" s="8" t="s">
        <v>9</v>
      </c>
      <c r="K4" s="8" t="s">
        <v>10</v>
      </c>
      <c r="L4" s="8" t="s">
        <v>11</v>
      </c>
      <c r="M4" s="8" t="s">
        <v>12</v>
      </c>
      <c r="N4" s="8"/>
    </row>
    <row r="5" spans="1:34" ht="28.8" x14ac:dyDescent="0.3">
      <c r="A5" s="3">
        <v>1</v>
      </c>
      <c r="B5" s="3" t="s">
        <v>42</v>
      </c>
      <c r="C5" s="3" t="s">
        <v>43</v>
      </c>
      <c r="D5" s="4">
        <v>45054</v>
      </c>
      <c r="E5" s="5">
        <v>0.79861111111111116</v>
      </c>
      <c r="F5" s="1" t="s">
        <v>367</v>
      </c>
      <c r="G5" s="7" t="s">
        <v>44</v>
      </c>
      <c r="H5" s="1">
        <v>1</v>
      </c>
      <c r="I5" s="14" t="s">
        <v>410</v>
      </c>
      <c r="J5" s="1" t="s">
        <v>36</v>
      </c>
      <c r="K5" s="1" t="s">
        <v>20</v>
      </c>
      <c r="L5" s="1"/>
      <c r="M5" s="1" t="s">
        <v>45</v>
      </c>
      <c r="N5" s="1"/>
    </row>
    <row r="6" spans="1:34" ht="28.8" x14ac:dyDescent="0.3">
      <c r="A6" s="3">
        <v>1</v>
      </c>
      <c r="B6" s="3" t="s">
        <v>42</v>
      </c>
      <c r="C6" s="3" t="s">
        <v>43</v>
      </c>
      <c r="D6" s="4">
        <v>45054</v>
      </c>
      <c r="E6" s="5">
        <v>0.79861111111111116</v>
      </c>
      <c r="F6" s="1" t="s">
        <v>46</v>
      </c>
      <c r="G6" s="7" t="s">
        <v>47</v>
      </c>
      <c r="H6" s="1">
        <v>1</v>
      </c>
      <c r="I6" s="14" t="s">
        <v>410</v>
      </c>
      <c r="J6" s="1" t="s">
        <v>36</v>
      </c>
      <c r="K6" s="1" t="s">
        <v>20</v>
      </c>
      <c r="L6" s="1"/>
      <c r="M6" s="1"/>
      <c r="N6" s="1"/>
    </row>
    <row r="7" spans="1:34" ht="28.8" x14ac:dyDescent="0.3">
      <c r="A7" s="3">
        <v>1</v>
      </c>
      <c r="B7" s="3" t="s">
        <v>42</v>
      </c>
      <c r="C7" s="3" t="s">
        <v>43</v>
      </c>
      <c r="D7" s="4">
        <v>45054</v>
      </c>
      <c r="E7" s="5">
        <v>0.79861111111111116</v>
      </c>
      <c r="F7" s="1" t="s">
        <v>28</v>
      </c>
      <c r="G7" s="7" t="s">
        <v>29</v>
      </c>
      <c r="H7" s="1">
        <v>1</v>
      </c>
      <c r="I7" s="14" t="s">
        <v>410</v>
      </c>
      <c r="J7" s="1" t="s">
        <v>36</v>
      </c>
      <c r="K7" s="1" t="s">
        <v>20</v>
      </c>
      <c r="L7" s="1"/>
      <c r="M7" s="1"/>
      <c r="N7" s="1"/>
    </row>
    <row r="8" spans="1:34" ht="28.8" x14ac:dyDescent="0.3">
      <c r="A8" s="3">
        <v>1</v>
      </c>
      <c r="B8" s="3" t="s">
        <v>42</v>
      </c>
      <c r="C8" s="3" t="s">
        <v>43</v>
      </c>
      <c r="D8" s="4">
        <v>45054</v>
      </c>
      <c r="E8" s="5">
        <v>0.79861111111111116</v>
      </c>
      <c r="F8" s="1" t="s">
        <v>37</v>
      </c>
      <c r="G8" s="7" t="s">
        <v>38</v>
      </c>
      <c r="H8" s="1">
        <v>6</v>
      </c>
      <c r="I8" s="14" t="s">
        <v>410</v>
      </c>
      <c r="J8" s="1" t="s">
        <v>48</v>
      </c>
      <c r="K8" s="1" t="s">
        <v>20</v>
      </c>
      <c r="L8" s="1"/>
      <c r="M8" s="1"/>
      <c r="N8" s="1"/>
      <c r="O8" s="1"/>
      <c r="P8" s="1"/>
      <c r="Q8" s="1"/>
      <c r="R8" s="1"/>
      <c r="S8" s="1"/>
      <c r="T8" s="1"/>
      <c r="U8" s="1"/>
    </row>
    <row r="9" spans="1:34" ht="28.8" x14ac:dyDescent="0.3">
      <c r="A9" s="3">
        <v>1</v>
      </c>
      <c r="B9" s="3" t="s">
        <v>42</v>
      </c>
      <c r="C9" s="3" t="s">
        <v>43</v>
      </c>
      <c r="D9" s="4">
        <v>45054</v>
      </c>
      <c r="E9" s="5">
        <v>0.79861111111111116</v>
      </c>
      <c r="F9" s="1" t="s">
        <v>49</v>
      </c>
      <c r="G9" s="7" t="s">
        <v>50</v>
      </c>
      <c r="H9" s="1">
        <v>1</v>
      </c>
      <c r="I9" s="14" t="s">
        <v>410</v>
      </c>
      <c r="J9" s="1" t="s">
        <v>48</v>
      </c>
      <c r="K9" s="1" t="s">
        <v>20</v>
      </c>
      <c r="L9" s="1"/>
      <c r="M9" s="1"/>
      <c r="N9" s="1"/>
      <c r="O9" s="1"/>
      <c r="P9" s="1"/>
      <c r="Q9" s="1"/>
      <c r="R9" s="1"/>
      <c r="S9" s="1"/>
      <c r="T9" s="1"/>
      <c r="U9" s="1"/>
    </row>
    <row r="10" spans="1:34" ht="28.8" x14ac:dyDescent="0.3">
      <c r="A10" s="3">
        <v>1</v>
      </c>
      <c r="B10" s="3" t="s">
        <v>42</v>
      </c>
      <c r="C10" s="3" t="s">
        <v>43</v>
      </c>
      <c r="D10" s="4">
        <v>45054</v>
      </c>
      <c r="E10" s="5">
        <v>0.79861111111111116</v>
      </c>
      <c r="F10" s="1" t="s">
        <v>51</v>
      </c>
      <c r="G10" s="7" t="s">
        <v>52</v>
      </c>
      <c r="H10" s="1">
        <v>1</v>
      </c>
      <c r="I10" s="14" t="s">
        <v>410</v>
      </c>
      <c r="J10" s="1" t="s">
        <v>48</v>
      </c>
      <c r="K10" s="1" t="s">
        <v>20</v>
      </c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34" ht="28.8" x14ac:dyDescent="0.3">
      <c r="A11" s="3">
        <v>1</v>
      </c>
      <c r="B11" s="3" t="s">
        <v>42</v>
      </c>
      <c r="C11" s="3" t="s">
        <v>43</v>
      </c>
      <c r="D11" s="4">
        <v>45054</v>
      </c>
      <c r="E11" s="5">
        <v>0.79861111111111116</v>
      </c>
      <c r="F11" s="1" t="s">
        <v>53</v>
      </c>
      <c r="G11" s="7" t="s">
        <v>54</v>
      </c>
      <c r="H11" s="1">
        <v>1</v>
      </c>
      <c r="I11" s="14" t="s">
        <v>410</v>
      </c>
      <c r="J11" s="1" t="s">
        <v>48</v>
      </c>
      <c r="K11" s="1" t="s">
        <v>20</v>
      </c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34" ht="28.8" x14ac:dyDescent="0.3">
      <c r="A12" s="3">
        <v>1</v>
      </c>
      <c r="B12" s="3" t="s">
        <v>42</v>
      </c>
      <c r="C12" s="3" t="s">
        <v>43</v>
      </c>
      <c r="D12" s="4">
        <v>45054</v>
      </c>
      <c r="E12" s="5">
        <v>0.79861111111111116</v>
      </c>
      <c r="F12" s="1" t="s">
        <v>55</v>
      </c>
      <c r="G12" s="7" t="s">
        <v>56</v>
      </c>
      <c r="H12" s="1">
        <v>23</v>
      </c>
      <c r="I12" s="14" t="s">
        <v>410</v>
      </c>
      <c r="J12" s="1" t="s">
        <v>48</v>
      </c>
      <c r="K12" s="1" t="s">
        <v>20</v>
      </c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34" ht="28.8" x14ac:dyDescent="0.3">
      <c r="A13" s="3">
        <v>1</v>
      </c>
      <c r="B13" s="3" t="s">
        <v>42</v>
      </c>
      <c r="C13" s="3" t="s">
        <v>43</v>
      </c>
      <c r="D13" s="4">
        <v>45054</v>
      </c>
      <c r="E13" s="5">
        <v>0.79861111111111116</v>
      </c>
      <c r="F13" s="1" t="s">
        <v>32</v>
      </c>
      <c r="G13" s="7" t="s">
        <v>33</v>
      </c>
      <c r="H13" s="1">
        <v>3</v>
      </c>
      <c r="I13" s="14" t="s">
        <v>410</v>
      </c>
      <c r="J13" s="1" t="s">
        <v>36</v>
      </c>
      <c r="K13" s="1" t="s">
        <v>20</v>
      </c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34" ht="28.8" x14ac:dyDescent="0.3">
      <c r="A14" s="3">
        <v>1</v>
      </c>
      <c r="B14" s="3" t="s">
        <v>42</v>
      </c>
      <c r="C14" s="3" t="s">
        <v>43</v>
      </c>
      <c r="D14" s="4">
        <v>45054</v>
      </c>
      <c r="E14" s="5">
        <v>0.79861111111111116</v>
      </c>
      <c r="F14" s="1" t="s">
        <v>57</v>
      </c>
      <c r="G14" s="7" t="s">
        <v>58</v>
      </c>
      <c r="H14" s="1">
        <v>1</v>
      </c>
      <c r="I14" s="14" t="s">
        <v>410</v>
      </c>
      <c r="J14" s="1" t="s">
        <v>36</v>
      </c>
      <c r="K14" s="1" t="s">
        <v>20</v>
      </c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34" ht="28.8" x14ac:dyDescent="0.3">
      <c r="A15" s="3">
        <v>1</v>
      </c>
      <c r="B15" s="3" t="s">
        <v>42</v>
      </c>
      <c r="C15" s="3" t="s">
        <v>43</v>
      </c>
      <c r="D15" s="4">
        <v>45054</v>
      </c>
      <c r="E15" s="5">
        <v>0.79861111111111116</v>
      </c>
      <c r="F15" s="1" t="s">
        <v>59</v>
      </c>
      <c r="G15" s="7" t="s">
        <v>60</v>
      </c>
      <c r="H15" s="1">
        <v>30</v>
      </c>
      <c r="I15" s="14" t="s">
        <v>410</v>
      </c>
      <c r="J15" s="1" t="s">
        <v>48</v>
      </c>
      <c r="K15" s="1" t="s">
        <v>20</v>
      </c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34" ht="28.8" x14ac:dyDescent="0.3">
      <c r="A16" s="3">
        <v>2</v>
      </c>
      <c r="B16" s="3" t="s">
        <v>42</v>
      </c>
      <c r="C16" s="3" t="s">
        <v>61</v>
      </c>
      <c r="D16" s="4">
        <v>45054</v>
      </c>
      <c r="E16" s="5">
        <v>0.88194444444444453</v>
      </c>
      <c r="F16" s="1" t="s">
        <v>62</v>
      </c>
      <c r="G16" s="7" t="s">
        <v>63</v>
      </c>
      <c r="H16" s="1">
        <v>3</v>
      </c>
      <c r="I16" s="14" t="s">
        <v>410</v>
      </c>
      <c r="J16" s="1" t="s">
        <v>36</v>
      </c>
      <c r="K16" s="1" t="s">
        <v>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8.8" x14ac:dyDescent="0.3">
      <c r="A17" s="3">
        <v>2</v>
      </c>
      <c r="B17" s="3" t="s">
        <v>42</v>
      </c>
      <c r="C17" s="3" t="s">
        <v>61</v>
      </c>
      <c r="D17" s="4">
        <v>45054</v>
      </c>
      <c r="E17" s="5">
        <v>0.88194444444444453</v>
      </c>
      <c r="F17" s="1" t="s">
        <v>64</v>
      </c>
      <c r="G17" s="7" t="s">
        <v>65</v>
      </c>
      <c r="H17" s="1">
        <v>1</v>
      </c>
      <c r="I17" s="14" t="s">
        <v>410</v>
      </c>
      <c r="J17" s="1" t="s">
        <v>36</v>
      </c>
      <c r="K17" s="1" t="s">
        <v>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8.8" x14ac:dyDescent="0.3">
      <c r="A18" s="3">
        <v>3</v>
      </c>
      <c r="B18" s="3" t="s">
        <v>42</v>
      </c>
      <c r="C18" s="3" t="s">
        <v>43</v>
      </c>
      <c r="D18" s="4">
        <v>45055</v>
      </c>
      <c r="E18" s="5">
        <v>0.34722222222222227</v>
      </c>
      <c r="F18" s="1" t="s">
        <v>17</v>
      </c>
      <c r="G18" s="7" t="s">
        <v>18</v>
      </c>
      <c r="H18" s="1">
        <v>3</v>
      </c>
      <c r="I18" s="14" t="s">
        <v>410</v>
      </c>
      <c r="J18" s="1" t="s">
        <v>36</v>
      </c>
      <c r="K18" s="1" t="s">
        <v>20</v>
      </c>
      <c r="L18" s="1" t="s">
        <v>246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8.8" x14ac:dyDescent="0.3">
      <c r="A19" s="3">
        <v>3</v>
      </c>
      <c r="B19" s="3" t="s">
        <v>42</v>
      </c>
      <c r="C19" s="3" t="s">
        <v>43</v>
      </c>
      <c r="D19" s="4">
        <v>45055</v>
      </c>
      <c r="E19" s="5">
        <v>0.34722222222222227</v>
      </c>
      <c r="F19" s="1" t="s">
        <v>55</v>
      </c>
      <c r="G19" s="7" t="s">
        <v>56</v>
      </c>
      <c r="H19" s="1">
        <v>1</v>
      </c>
      <c r="I19" s="14" t="s">
        <v>410</v>
      </c>
      <c r="J19" s="1" t="s">
        <v>48</v>
      </c>
      <c r="K19" s="1" t="s"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ht="28.8" x14ac:dyDescent="0.3">
      <c r="A20" s="3">
        <v>3</v>
      </c>
      <c r="B20" s="3" t="s">
        <v>42</v>
      </c>
      <c r="C20" s="3" t="s">
        <v>43</v>
      </c>
      <c r="D20" s="4">
        <v>45055</v>
      </c>
      <c r="E20" s="5">
        <v>0.34722222222222227</v>
      </c>
      <c r="F20" s="1" t="s">
        <v>59</v>
      </c>
      <c r="G20" s="7" t="s">
        <v>60</v>
      </c>
      <c r="H20" s="1">
        <v>30</v>
      </c>
      <c r="I20" s="14" t="s">
        <v>410</v>
      </c>
      <c r="J20" s="1" t="s">
        <v>48</v>
      </c>
      <c r="K20" s="1" t="s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28.8" x14ac:dyDescent="0.3">
      <c r="A21" s="3">
        <v>3</v>
      </c>
      <c r="B21" s="3" t="s">
        <v>42</v>
      </c>
      <c r="C21" s="3" t="s">
        <v>43</v>
      </c>
      <c r="D21" s="4">
        <v>45055</v>
      </c>
      <c r="E21" s="5">
        <v>0.34722222222222227</v>
      </c>
      <c r="F21" s="1" t="s">
        <v>68</v>
      </c>
      <c r="G21" s="7" t="s">
        <v>67</v>
      </c>
      <c r="H21" s="1">
        <v>1</v>
      </c>
      <c r="I21" s="14" t="s">
        <v>410</v>
      </c>
      <c r="J21" s="1" t="s">
        <v>36</v>
      </c>
      <c r="K21" s="1" t="s">
        <v>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8.8" x14ac:dyDescent="0.3">
      <c r="A22" s="3">
        <v>3</v>
      </c>
      <c r="B22" s="3" t="s">
        <v>42</v>
      </c>
      <c r="C22" s="3" t="s">
        <v>43</v>
      </c>
      <c r="D22" s="4">
        <v>45055</v>
      </c>
      <c r="E22" s="5">
        <v>0.34722222222222227</v>
      </c>
      <c r="F22" s="1" t="s">
        <v>32</v>
      </c>
      <c r="G22" s="7" t="s">
        <v>33</v>
      </c>
      <c r="H22" s="1">
        <v>1</v>
      </c>
      <c r="I22" s="14" t="s">
        <v>410</v>
      </c>
      <c r="J22" s="1" t="s">
        <v>36</v>
      </c>
      <c r="K22" s="1" t="s">
        <v>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28.8" x14ac:dyDescent="0.3">
      <c r="A23" s="3">
        <v>3</v>
      </c>
      <c r="B23" s="3" t="s">
        <v>42</v>
      </c>
      <c r="C23" s="3" t="s">
        <v>43</v>
      </c>
      <c r="D23" s="4">
        <v>45055</v>
      </c>
      <c r="E23" s="5">
        <v>0.34722222222222227</v>
      </c>
      <c r="F23" s="1" t="s">
        <v>40</v>
      </c>
      <c r="G23" s="7" t="s">
        <v>41</v>
      </c>
      <c r="H23" s="1">
        <v>1</v>
      </c>
      <c r="I23" s="14" t="s">
        <v>410</v>
      </c>
      <c r="J23" s="1" t="s">
        <v>36</v>
      </c>
      <c r="K23" s="1" t="s">
        <v>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28.8" x14ac:dyDescent="0.3">
      <c r="A24" s="3">
        <v>4</v>
      </c>
      <c r="B24" s="3" t="s">
        <v>43</v>
      </c>
      <c r="C24" s="3" t="s">
        <v>69</v>
      </c>
      <c r="D24" s="4">
        <v>45055</v>
      </c>
      <c r="E24" s="5">
        <v>0.3888888888888889</v>
      </c>
      <c r="F24" s="1" t="s">
        <v>37</v>
      </c>
      <c r="G24" s="7" t="s">
        <v>38</v>
      </c>
      <c r="H24" s="1">
        <v>1</v>
      </c>
      <c r="I24" s="14" t="s">
        <v>410</v>
      </c>
      <c r="J24" s="1" t="s">
        <v>36</v>
      </c>
      <c r="K24" s="1" t="s">
        <v>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28.8" x14ac:dyDescent="0.3">
      <c r="A25" s="3">
        <v>4</v>
      </c>
      <c r="B25" s="3" t="s">
        <v>43</v>
      </c>
      <c r="C25" s="3" t="s">
        <v>69</v>
      </c>
      <c r="D25" s="4">
        <v>45055</v>
      </c>
      <c r="E25" s="5">
        <v>0.3888888888888889</v>
      </c>
      <c r="F25" s="1" t="s">
        <v>17</v>
      </c>
      <c r="G25" s="7" t="s">
        <v>18</v>
      </c>
      <c r="H25" s="1">
        <v>8</v>
      </c>
      <c r="I25" s="14" t="s">
        <v>410</v>
      </c>
      <c r="J25" s="1" t="s">
        <v>36</v>
      </c>
      <c r="K25" s="1" t="s">
        <v>20</v>
      </c>
      <c r="L25" s="1" t="s">
        <v>247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28.8" x14ac:dyDescent="0.3">
      <c r="A26" s="3">
        <v>4</v>
      </c>
      <c r="B26" s="3" t="s">
        <v>43</v>
      </c>
      <c r="C26" s="3" t="s">
        <v>69</v>
      </c>
      <c r="D26" s="4">
        <v>45055</v>
      </c>
      <c r="E26" s="5">
        <v>0.3888888888888889</v>
      </c>
      <c r="F26" s="1" t="s">
        <v>40</v>
      </c>
      <c r="G26" s="7" t="s">
        <v>41</v>
      </c>
      <c r="H26" s="1">
        <v>3</v>
      </c>
      <c r="I26" s="14" t="s">
        <v>410</v>
      </c>
      <c r="J26" s="1" t="s">
        <v>36</v>
      </c>
      <c r="K26" s="1" t="s">
        <v>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28.8" x14ac:dyDescent="0.3">
      <c r="A27" s="3">
        <v>4</v>
      </c>
      <c r="B27" s="3" t="s">
        <v>43</v>
      </c>
      <c r="C27" s="3" t="s">
        <v>69</v>
      </c>
      <c r="D27" s="4">
        <v>45055</v>
      </c>
      <c r="E27" s="5">
        <v>0.3888888888888889</v>
      </c>
      <c r="F27" s="1" t="s">
        <v>71</v>
      </c>
      <c r="G27" s="7" t="s">
        <v>70</v>
      </c>
      <c r="H27" s="1">
        <v>1</v>
      </c>
      <c r="I27" s="14" t="s">
        <v>410</v>
      </c>
      <c r="J27" s="1" t="s">
        <v>36</v>
      </c>
      <c r="K27" s="1" t="s">
        <v>20</v>
      </c>
      <c r="L27" s="1" t="s">
        <v>248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28.8" x14ac:dyDescent="0.3">
      <c r="A28" s="3">
        <v>5</v>
      </c>
      <c r="B28" s="3" t="s">
        <v>80</v>
      </c>
      <c r="C28" s="3" t="s">
        <v>81</v>
      </c>
      <c r="D28" s="4">
        <v>45055</v>
      </c>
      <c r="E28" s="5">
        <v>0.85416666666666663</v>
      </c>
      <c r="F28" s="1" t="s">
        <v>55</v>
      </c>
      <c r="G28" s="7" t="s">
        <v>56</v>
      </c>
      <c r="H28" s="1">
        <v>41</v>
      </c>
      <c r="I28" s="14" t="s">
        <v>410</v>
      </c>
      <c r="J28" s="1" t="s">
        <v>48</v>
      </c>
      <c r="K28" s="1" t="s">
        <v>20</v>
      </c>
      <c r="L28" s="1" t="s">
        <v>249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28.8" x14ac:dyDescent="0.3">
      <c r="A29" s="3">
        <v>5</v>
      </c>
      <c r="B29" s="3" t="s">
        <v>80</v>
      </c>
      <c r="C29" s="3" t="s">
        <v>81</v>
      </c>
      <c r="D29" s="4">
        <v>45055</v>
      </c>
      <c r="E29" s="5">
        <v>0.85416666666666663</v>
      </c>
      <c r="F29" s="1" t="s">
        <v>32</v>
      </c>
      <c r="G29" s="7" t="s">
        <v>33</v>
      </c>
      <c r="H29" s="1">
        <v>1</v>
      </c>
      <c r="I29" s="14" t="s">
        <v>410</v>
      </c>
      <c r="J29" s="1" t="s">
        <v>48</v>
      </c>
      <c r="K29" s="1" t="s">
        <v>20</v>
      </c>
      <c r="L29" s="1" t="s">
        <v>254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28.8" x14ac:dyDescent="0.3">
      <c r="A30" s="3">
        <v>5</v>
      </c>
      <c r="B30" s="3" t="s">
        <v>80</v>
      </c>
      <c r="C30" s="3" t="s">
        <v>81</v>
      </c>
      <c r="D30" s="4">
        <v>45055</v>
      </c>
      <c r="E30" s="5">
        <v>0.85416666666666663</v>
      </c>
      <c r="F30" s="1" t="s">
        <v>37</v>
      </c>
      <c r="G30" s="7" t="s">
        <v>38</v>
      </c>
      <c r="H30" s="1">
        <v>4</v>
      </c>
      <c r="I30" s="14" t="s">
        <v>410</v>
      </c>
      <c r="J30" s="1" t="s">
        <v>48</v>
      </c>
      <c r="K30" s="1" t="s">
        <v>20</v>
      </c>
      <c r="L30" s="1" t="s">
        <v>250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8.8" x14ac:dyDescent="0.3">
      <c r="A31" s="3">
        <v>5</v>
      </c>
      <c r="B31" s="3" t="s">
        <v>80</v>
      </c>
      <c r="C31" s="3" t="s">
        <v>81</v>
      </c>
      <c r="D31" s="4">
        <v>45055</v>
      </c>
      <c r="E31" s="5">
        <v>0.85416666666666663</v>
      </c>
      <c r="F31" s="1" t="s">
        <v>53</v>
      </c>
      <c r="G31" s="7" t="s">
        <v>54</v>
      </c>
      <c r="H31" s="1">
        <v>30</v>
      </c>
      <c r="I31" s="14" t="s">
        <v>410</v>
      </c>
      <c r="J31" s="1" t="s">
        <v>48</v>
      </c>
      <c r="K31" s="1" t="s">
        <v>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28.8" x14ac:dyDescent="0.3">
      <c r="A32" s="3">
        <v>5</v>
      </c>
      <c r="B32" s="3" t="s">
        <v>80</v>
      </c>
      <c r="C32" s="3" t="s">
        <v>81</v>
      </c>
      <c r="D32" s="4">
        <v>45055</v>
      </c>
      <c r="E32" s="5">
        <v>0.85416666666666663</v>
      </c>
      <c r="F32" s="1" t="s">
        <v>75</v>
      </c>
      <c r="G32" s="7" t="s">
        <v>72</v>
      </c>
      <c r="H32" s="1">
        <v>2</v>
      </c>
      <c r="I32" s="14" t="s">
        <v>410</v>
      </c>
      <c r="J32" s="1" t="s">
        <v>48</v>
      </c>
      <c r="K32" s="1" t="s">
        <v>20</v>
      </c>
      <c r="L32" s="1"/>
      <c r="M32" s="1" t="s">
        <v>79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28.8" x14ac:dyDescent="0.3">
      <c r="A33" s="3">
        <v>5</v>
      </c>
      <c r="B33" s="3" t="s">
        <v>80</v>
      </c>
      <c r="C33" s="3" t="s">
        <v>81</v>
      </c>
      <c r="D33" s="4">
        <v>45055</v>
      </c>
      <c r="E33" s="5">
        <v>0.85416666666666663</v>
      </c>
      <c r="F33" s="1" t="s">
        <v>76</v>
      </c>
      <c r="G33" s="7" t="s">
        <v>73</v>
      </c>
      <c r="H33" s="1">
        <v>2</v>
      </c>
      <c r="I33" s="14" t="s">
        <v>410</v>
      </c>
      <c r="J33" s="1" t="s">
        <v>48</v>
      </c>
      <c r="K33" s="1" t="s">
        <v>20</v>
      </c>
      <c r="L33" s="1" t="s">
        <v>251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28.8" x14ac:dyDescent="0.3">
      <c r="A34" s="3">
        <v>5</v>
      </c>
      <c r="B34" s="3" t="s">
        <v>80</v>
      </c>
      <c r="C34" s="3" t="s">
        <v>81</v>
      </c>
      <c r="D34" s="4">
        <v>45055</v>
      </c>
      <c r="E34" s="5">
        <v>0.85416666666666663</v>
      </c>
      <c r="F34" s="1" t="s">
        <v>57</v>
      </c>
      <c r="G34" s="7" t="s">
        <v>58</v>
      </c>
      <c r="H34" s="1">
        <v>4</v>
      </c>
      <c r="I34" s="14" t="s">
        <v>410</v>
      </c>
      <c r="J34" s="1" t="s">
        <v>48</v>
      </c>
      <c r="K34" s="1" t="s">
        <v>20</v>
      </c>
      <c r="L34" s="1" t="s">
        <v>252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28.8" x14ac:dyDescent="0.3">
      <c r="A35" s="3">
        <v>5</v>
      </c>
      <c r="B35" s="3" t="s">
        <v>80</v>
      </c>
      <c r="C35" s="3" t="s">
        <v>81</v>
      </c>
      <c r="D35" s="4">
        <v>45055</v>
      </c>
      <c r="E35" s="5">
        <v>0.85416666666666663</v>
      </c>
      <c r="F35" s="1" t="s">
        <v>59</v>
      </c>
      <c r="G35" s="7" t="s">
        <v>60</v>
      </c>
      <c r="H35" s="1">
        <v>1</v>
      </c>
      <c r="I35" s="14" t="s">
        <v>410</v>
      </c>
      <c r="J35" s="1" t="s">
        <v>48</v>
      </c>
      <c r="K35" s="1" t="s">
        <v>20</v>
      </c>
      <c r="L35" s="1" t="s">
        <v>253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28.8" x14ac:dyDescent="0.3">
      <c r="A36" s="3">
        <v>5</v>
      </c>
      <c r="B36" s="3" t="s">
        <v>80</v>
      </c>
      <c r="C36" s="3" t="s">
        <v>81</v>
      </c>
      <c r="D36" s="4">
        <v>45055</v>
      </c>
      <c r="E36" s="5">
        <v>0.85416666666666663</v>
      </c>
      <c r="F36" s="1" t="s">
        <v>77</v>
      </c>
      <c r="G36" s="7" t="s">
        <v>74</v>
      </c>
      <c r="H36" s="1">
        <v>1</v>
      </c>
      <c r="I36" s="14" t="s">
        <v>410</v>
      </c>
      <c r="J36" s="1" t="s">
        <v>48</v>
      </c>
      <c r="K36" s="1" t="s">
        <v>20</v>
      </c>
      <c r="L36" s="1"/>
      <c r="M36" s="1" t="s">
        <v>78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6" x14ac:dyDescent="0.3">
      <c r="A37" s="3"/>
      <c r="B37" s="3"/>
      <c r="C37" s="3"/>
      <c r="D37" s="3"/>
      <c r="E37" s="3"/>
      <c r="F37" s="1"/>
      <c r="G37" s="7"/>
      <c r="H37" s="13"/>
      <c r="I37" s="14"/>
      <c r="J37" s="1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6" x14ac:dyDescent="0.3">
      <c r="A38" s="3"/>
      <c r="B38" s="3"/>
      <c r="C38" s="3"/>
      <c r="D38" s="3"/>
      <c r="E38" s="3"/>
      <c r="F38" s="1"/>
      <c r="G38" s="7"/>
      <c r="H38" s="13"/>
      <c r="I38" s="14"/>
      <c r="J38" s="1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6" x14ac:dyDescent="0.3">
      <c r="A39" s="3"/>
      <c r="B39" s="3"/>
      <c r="C39" s="3"/>
      <c r="D39" s="3"/>
      <c r="E39" s="3"/>
      <c r="F39" s="1"/>
      <c r="G39" s="7"/>
      <c r="H39" s="13"/>
      <c r="I39" s="14"/>
      <c r="J39" s="1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6" x14ac:dyDescent="0.3">
      <c r="A40" s="3"/>
      <c r="B40" s="3"/>
      <c r="C40" s="3"/>
      <c r="D40" s="3"/>
      <c r="E40" s="3"/>
      <c r="F40" s="1"/>
      <c r="G40" s="7"/>
      <c r="H40" s="13"/>
      <c r="I40" s="14"/>
      <c r="J40" s="1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6" x14ac:dyDescent="0.3">
      <c r="A41" s="3"/>
      <c r="B41" s="3"/>
      <c r="C41" s="3"/>
      <c r="D41" s="3"/>
      <c r="E41" s="3"/>
      <c r="F41" s="1"/>
      <c r="G41" s="7"/>
      <c r="H41" s="13"/>
      <c r="I41" s="14"/>
      <c r="J41" s="1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6" x14ac:dyDescent="0.3">
      <c r="A42" s="3"/>
      <c r="B42" s="3"/>
      <c r="C42" s="3"/>
      <c r="D42" s="3"/>
      <c r="E42" s="3"/>
      <c r="F42" s="1"/>
      <c r="G42" s="7"/>
      <c r="H42" s="13"/>
      <c r="I42" s="14"/>
      <c r="J42" s="1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6" x14ac:dyDescent="0.3">
      <c r="A43" s="3"/>
      <c r="B43" s="3"/>
      <c r="C43" s="3"/>
      <c r="D43" s="3"/>
      <c r="E43" s="3"/>
      <c r="F43" s="1"/>
      <c r="G43" s="7"/>
      <c r="H43" s="13"/>
      <c r="I43" s="14"/>
      <c r="J43" s="13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6" x14ac:dyDescent="0.3">
      <c r="A44" s="3"/>
      <c r="B44" s="3"/>
      <c r="C44" s="3"/>
      <c r="D44" s="3"/>
      <c r="E44" s="3"/>
      <c r="F44" s="1"/>
      <c r="G44" s="7"/>
      <c r="H44" s="13"/>
      <c r="I44" s="14"/>
      <c r="J44" s="13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6" x14ac:dyDescent="0.3">
      <c r="A45" s="3"/>
      <c r="B45" s="3"/>
      <c r="C45" s="3"/>
      <c r="D45" s="3"/>
      <c r="E45" s="3"/>
      <c r="F45" s="1"/>
      <c r="G45" s="1"/>
      <c r="H45" s="13"/>
      <c r="I45" s="14"/>
      <c r="J45" s="13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6" x14ac:dyDescent="0.3">
      <c r="A46" s="3"/>
      <c r="B46" s="3"/>
      <c r="C46" s="3"/>
      <c r="D46" s="3"/>
      <c r="E46" s="3"/>
      <c r="F46" s="1"/>
      <c r="G46" s="1"/>
      <c r="H46" s="13"/>
      <c r="I46" s="14"/>
      <c r="J46" s="1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6" x14ac:dyDescent="0.3">
      <c r="A47" s="3"/>
      <c r="B47" s="3"/>
      <c r="C47" s="3"/>
      <c r="D47" s="3"/>
      <c r="E47" s="3"/>
      <c r="F47" s="1"/>
      <c r="G47" s="1"/>
      <c r="H47" s="13"/>
      <c r="I47" s="14"/>
      <c r="J47" s="1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6" x14ac:dyDescent="0.3">
      <c r="A48" s="3"/>
      <c r="B48" s="3"/>
      <c r="C48" s="3"/>
      <c r="D48" s="3"/>
      <c r="E48" s="3"/>
      <c r="F48" s="1"/>
      <c r="G48" s="1"/>
      <c r="H48" s="13"/>
      <c r="I48" s="14"/>
      <c r="J48" s="1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6" x14ac:dyDescent="0.3">
      <c r="A49" s="3"/>
      <c r="B49" s="3"/>
      <c r="C49" s="3"/>
      <c r="D49" s="3"/>
      <c r="E49" s="3"/>
      <c r="F49" s="1"/>
      <c r="G49" s="1"/>
      <c r="H49" s="13"/>
      <c r="I49" s="14"/>
      <c r="J49" s="1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6" x14ac:dyDescent="0.3">
      <c r="A50" s="3"/>
      <c r="B50" s="3"/>
      <c r="C50" s="3"/>
      <c r="D50" s="3"/>
      <c r="E50" s="3"/>
      <c r="F50" s="1"/>
      <c r="G50" s="1"/>
      <c r="H50" s="13"/>
      <c r="I50" s="14"/>
      <c r="J50" s="1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6" x14ac:dyDescent="0.3">
      <c r="A51" s="3"/>
      <c r="B51" s="3"/>
      <c r="C51" s="3"/>
      <c r="D51" s="3"/>
      <c r="E51" s="3"/>
      <c r="F51" s="1"/>
      <c r="G51" s="1"/>
      <c r="H51" s="13"/>
      <c r="I51" s="14"/>
      <c r="J51" s="1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6" x14ac:dyDescent="0.3">
      <c r="A52" s="3"/>
      <c r="B52" s="3"/>
      <c r="C52" s="3"/>
      <c r="D52" s="3"/>
      <c r="E52" s="3"/>
      <c r="F52" s="1"/>
      <c r="G52" s="1"/>
      <c r="H52" s="13"/>
      <c r="I52" s="14"/>
      <c r="J52" s="1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6" x14ac:dyDescent="0.3">
      <c r="A53" s="3"/>
      <c r="B53" s="3"/>
      <c r="C53" s="3"/>
      <c r="D53" s="3"/>
      <c r="E53" s="3"/>
      <c r="F53" s="1"/>
      <c r="G53" s="1"/>
      <c r="H53" s="13"/>
      <c r="I53" s="13"/>
      <c r="J53" s="1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6" x14ac:dyDescent="0.3">
      <c r="A54" s="3"/>
      <c r="B54" s="3"/>
      <c r="C54" s="3"/>
      <c r="D54" s="3"/>
      <c r="E54" s="3"/>
      <c r="F54" s="1"/>
      <c r="G54" s="1"/>
      <c r="H54" s="1"/>
      <c r="I54" s="1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6" x14ac:dyDescent="0.3">
      <c r="A55" s="3"/>
      <c r="B55" s="3"/>
      <c r="C55" s="3"/>
      <c r="D55" s="3"/>
      <c r="E55" s="3"/>
      <c r="F55" s="1"/>
      <c r="G55" s="1"/>
      <c r="H55" s="1"/>
      <c r="I55" s="1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6" x14ac:dyDescent="0.3">
      <c r="A56" s="3"/>
      <c r="B56" s="3"/>
      <c r="C56" s="3"/>
      <c r="D56" s="3"/>
      <c r="E56" s="3"/>
      <c r="F56" s="1"/>
      <c r="G56" s="1"/>
      <c r="H56" s="1"/>
      <c r="I56" s="1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6" x14ac:dyDescent="0.3">
      <c r="A57" s="3"/>
      <c r="B57" s="3"/>
      <c r="C57" s="3"/>
      <c r="D57" s="3"/>
      <c r="E57" s="3"/>
      <c r="F57" s="1"/>
      <c r="G57" s="1"/>
      <c r="H57" s="1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6" x14ac:dyDescent="0.3">
      <c r="A58" s="3"/>
      <c r="B58" s="3"/>
      <c r="C58" s="3"/>
      <c r="D58" s="3"/>
      <c r="E58" s="3"/>
      <c r="F58" s="1"/>
      <c r="G58" s="1"/>
      <c r="H58" s="1"/>
      <c r="I58" s="13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6" x14ac:dyDescent="0.3">
      <c r="A59" s="3"/>
      <c r="B59" s="3"/>
      <c r="C59" s="3"/>
      <c r="D59" s="3"/>
      <c r="E59" s="3"/>
      <c r="F59" s="1"/>
      <c r="G59" s="1"/>
      <c r="H59" s="1"/>
      <c r="I59" s="13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6" x14ac:dyDescent="0.3">
      <c r="A60" s="3"/>
      <c r="B60" s="3"/>
      <c r="C60" s="3"/>
      <c r="D60" s="3"/>
      <c r="E60" s="3"/>
      <c r="F60" s="1"/>
      <c r="G60" s="1"/>
      <c r="H60" s="1"/>
      <c r="I60" s="13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6" x14ac:dyDescent="0.3">
      <c r="A61" s="3"/>
      <c r="B61" s="3"/>
      <c r="C61" s="3"/>
      <c r="D61" s="3"/>
      <c r="E61" s="3"/>
      <c r="F61" s="1"/>
      <c r="G61" s="1"/>
      <c r="H61" s="1"/>
      <c r="I61" s="13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6" x14ac:dyDescent="0.3">
      <c r="A62" s="3"/>
      <c r="B62" s="3"/>
      <c r="C62" s="3"/>
      <c r="D62" s="3"/>
      <c r="E62" s="3"/>
      <c r="F62" s="1"/>
      <c r="G62" s="1"/>
      <c r="H62" s="1"/>
      <c r="I62" s="13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6" x14ac:dyDescent="0.3">
      <c r="A63" s="3"/>
      <c r="B63" s="3"/>
      <c r="C63" s="3"/>
      <c r="D63" s="3"/>
      <c r="E63" s="3"/>
      <c r="F63" s="1"/>
      <c r="G63" s="1"/>
      <c r="H63" s="1"/>
      <c r="I63" s="13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6" x14ac:dyDescent="0.3">
      <c r="A64" s="3"/>
      <c r="B64" s="3"/>
      <c r="C64" s="3"/>
      <c r="D64" s="3"/>
      <c r="E64" s="3"/>
      <c r="F64" s="1"/>
      <c r="G64" s="1"/>
      <c r="H64" s="1"/>
      <c r="I64" s="13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6" x14ac:dyDescent="0.3">
      <c r="A65" s="3"/>
      <c r="B65" s="3"/>
      <c r="C65" s="3"/>
      <c r="D65" s="3"/>
      <c r="E65" s="3"/>
      <c r="F65" s="1"/>
      <c r="G65" s="1"/>
      <c r="H65" s="1"/>
      <c r="I65" s="13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6" x14ac:dyDescent="0.3">
      <c r="A66" s="3"/>
      <c r="B66" s="3"/>
      <c r="C66" s="3"/>
      <c r="D66" s="3"/>
      <c r="E66" s="3"/>
      <c r="F66" s="1"/>
      <c r="G66" s="1"/>
      <c r="H66" s="1"/>
      <c r="I66" s="13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6" x14ac:dyDescent="0.3">
      <c r="A67" s="3"/>
      <c r="B67" s="3"/>
      <c r="C67" s="3"/>
      <c r="D67" s="3"/>
      <c r="E67" s="3"/>
      <c r="F67" s="1"/>
      <c r="G67" s="1"/>
      <c r="H67" s="1"/>
      <c r="I67" s="13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6" x14ac:dyDescent="0.3">
      <c r="A68" s="3"/>
      <c r="B68" s="3"/>
      <c r="C68" s="3"/>
      <c r="D68" s="3"/>
      <c r="E68" s="3"/>
      <c r="F68" s="1"/>
      <c r="G68" s="1"/>
      <c r="H68" s="1"/>
      <c r="I68" s="13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6" x14ac:dyDescent="0.3">
      <c r="A69" s="3"/>
      <c r="B69" s="3"/>
      <c r="C69" s="3"/>
      <c r="D69" s="3"/>
      <c r="E69" s="3"/>
      <c r="F69" s="1"/>
      <c r="G69" s="1"/>
      <c r="H69" s="1"/>
      <c r="I69" s="13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6" x14ac:dyDescent="0.3">
      <c r="A70" s="3"/>
      <c r="B70" s="3"/>
      <c r="C70" s="3"/>
      <c r="D70" s="3"/>
      <c r="E70" s="3"/>
      <c r="F70" s="1"/>
      <c r="G70" s="1"/>
      <c r="H70" s="1"/>
      <c r="I70" s="13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6" x14ac:dyDescent="0.3">
      <c r="A71" s="3"/>
      <c r="B71" s="3"/>
      <c r="C71" s="3"/>
      <c r="D71" s="3"/>
      <c r="E71" s="3"/>
      <c r="F71" s="1"/>
      <c r="G71" s="1"/>
      <c r="H71" s="1"/>
      <c r="I71" s="13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6" x14ac:dyDescent="0.3">
      <c r="A72" s="3"/>
      <c r="B72" s="3"/>
      <c r="C72" s="3"/>
      <c r="D72" s="3"/>
      <c r="E72" s="3"/>
      <c r="F72" s="1"/>
      <c r="G72" s="1"/>
      <c r="H72" s="1"/>
      <c r="I72" s="13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6" x14ac:dyDescent="0.3">
      <c r="A73" s="3"/>
      <c r="B73" s="3"/>
      <c r="C73" s="3"/>
      <c r="D73" s="3"/>
      <c r="E73" s="3"/>
      <c r="F73" s="1"/>
      <c r="G73" s="1"/>
      <c r="H73" s="1"/>
      <c r="I73" s="13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6" x14ac:dyDescent="0.3">
      <c r="A74" s="3"/>
      <c r="B74" s="3"/>
      <c r="C74" s="3"/>
      <c r="D74" s="3"/>
      <c r="E74" s="3"/>
      <c r="F74" s="1"/>
      <c r="G74" s="1"/>
      <c r="H74" s="1"/>
      <c r="I74" s="13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6" x14ac:dyDescent="0.3">
      <c r="A75" s="3"/>
      <c r="B75" s="3"/>
      <c r="C75" s="3"/>
      <c r="D75" s="3"/>
      <c r="E75" s="3"/>
      <c r="F75" s="1"/>
      <c r="G75" s="1"/>
      <c r="H75" s="1"/>
      <c r="I75" s="1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6" x14ac:dyDescent="0.3">
      <c r="A76" s="3"/>
      <c r="B76" s="3"/>
      <c r="C76" s="3"/>
      <c r="D76" s="3"/>
      <c r="E76" s="3"/>
      <c r="F76" s="1"/>
      <c r="G76" s="1"/>
      <c r="H76" s="1"/>
      <c r="I76" s="1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6" x14ac:dyDescent="0.3">
      <c r="A77" s="3"/>
      <c r="B77" s="3"/>
      <c r="C77" s="3"/>
      <c r="D77" s="3"/>
      <c r="E77" s="3"/>
      <c r="F77" s="1"/>
      <c r="G77" s="1"/>
      <c r="H77" s="1"/>
      <c r="I77" s="1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6" x14ac:dyDescent="0.3">
      <c r="A78" s="3"/>
      <c r="B78" s="3"/>
      <c r="C78" s="3"/>
      <c r="D78" s="3"/>
      <c r="E78" s="3"/>
      <c r="F78" s="1"/>
      <c r="G78" s="1"/>
      <c r="H78" s="1"/>
      <c r="I78" s="13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6" x14ac:dyDescent="0.3">
      <c r="A79" s="3"/>
      <c r="B79" s="3"/>
      <c r="C79" s="3"/>
      <c r="D79" s="3"/>
      <c r="E79" s="3"/>
      <c r="F79" s="1"/>
      <c r="G79" s="1"/>
      <c r="H79" s="1"/>
      <c r="I79" s="13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6" x14ac:dyDescent="0.3">
      <c r="A80" s="3"/>
      <c r="B80" s="3"/>
      <c r="C80" s="3"/>
      <c r="D80" s="3"/>
      <c r="E80" s="3"/>
      <c r="F80" s="1"/>
      <c r="G80" s="1"/>
      <c r="H80" s="1"/>
      <c r="I80" s="13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6" x14ac:dyDescent="0.3">
      <c r="A81" s="3"/>
      <c r="B81" s="3"/>
      <c r="C81" s="3"/>
      <c r="D81" s="3"/>
      <c r="E81" s="3"/>
      <c r="F81" s="1"/>
      <c r="G81" s="1"/>
      <c r="H81" s="1"/>
      <c r="I81" s="13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6" x14ac:dyDescent="0.3">
      <c r="A82" s="3"/>
      <c r="B82" s="3"/>
      <c r="C82" s="3"/>
      <c r="D82" s="3"/>
      <c r="E82" s="3"/>
      <c r="F82" s="1"/>
      <c r="G82" s="1"/>
      <c r="H82" s="1"/>
      <c r="I82" s="13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6" x14ac:dyDescent="0.3">
      <c r="A83" s="3"/>
      <c r="B83" s="3"/>
      <c r="C83" s="3"/>
      <c r="D83" s="3"/>
      <c r="E83" s="3"/>
      <c r="F83" s="1"/>
      <c r="G83" s="1"/>
      <c r="H83" s="1"/>
      <c r="I83" s="13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6" x14ac:dyDescent="0.3">
      <c r="A84" s="3"/>
      <c r="B84" s="3"/>
      <c r="C84" s="3"/>
      <c r="D84" s="3"/>
      <c r="E84" s="3"/>
      <c r="F84" s="1"/>
      <c r="G84" s="1"/>
      <c r="H84" s="1"/>
      <c r="I84" s="1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6" x14ac:dyDescent="0.3">
      <c r="A85" s="3"/>
      <c r="B85" s="3"/>
      <c r="C85" s="3"/>
      <c r="D85" s="3"/>
      <c r="E85" s="3"/>
      <c r="F85" s="1"/>
      <c r="G85" s="1"/>
      <c r="H85" s="1"/>
      <c r="I85" s="13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6" x14ac:dyDescent="0.3">
      <c r="A86" s="3"/>
      <c r="B86" s="3"/>
      <c r="C86" s="3"/>
      <c r="D86" s="3"/>
      <c r="E86" s="3"/>
      <c r="F86" s="1"/>
      <c r="G86" s="1"/>
      <c r="H86" s="1"/>
      <c r="I86" s="13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6" x14ac:dyDescent="0.3">
      <c r="A87" s="3"/>
      <c r="B87" s="3"/>
      <c r="C87" s="3"/>
      <c r="D87" s="3"/>
      <c r="E87" s="3"/>
      <c r="F87" s="1"/>
      <c r="G87" s="1"/>
      <c r="H87" s="1"/>
      <c r="I87" s="13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6" x14ac:dyDescent="0.3">
      <c r="A88" s="3"/>
      <c r="B88" s="3"/>
      <c r="C88" s="3"/>
      <c r="D88" s="3"/>
      <c r="E88" s="3"/>
      <c r="F88" s="1"/>
      <c r="G88" s="1"/>
      <c r="H88" s="1"/>
      <c r="I88" s="13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6" x14ac:dyDescent="0.3">
      <c r="A89" s="3"/>
      <c r="B89" s="3"/>
      <c r="C89" s="3"/>
      <c r="D89" s="3"/>
      <c r="E89" s="3"/>
      <c r="F89" s="1"/>
      <c r="G89" s="1"/>
      <c r="H89" s="1"/>
      <c r="I89" s="13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6" x14ac:dyDescent="0.3">
      <c r="A90" s="3"/>
      <c r="B90" s="3"/>
      <c r="C90" s="3"/>
      <c r="D90" s="3"/>
      <c r="E90" s="3"/>
      <c r="F90" s="1"/>
      <c r="G90" s="1"/>
      <c r="H90" s="1"/>
      <c r="I90" s="1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6" x14ac:dyDescent="0.3">
      <c r="A91" s="3"/>
      <c r="B91" s="3"/>
      <c r="C91" s="3"/>
      <c r="D91" s="3"/>
      <c r="E91" s="3"/>
      <c r="F91" s="1"/>
      <c r="G91" s="1"/>
      <c r="H91" s="1"/>
      <c r="I91" s="13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6" x14ac:dyDescent="0.3">
      <c r="A92" s="3"/>
      <c r="B92" s="3"/>
      <c r="C92" s="3"/>
      <c r="D92" s="3"/>
      <c r="E92" s="3"/>
      <c r="F92" s="1"/>
      <c r="G92" s="1"/>
      <c r="H92" s="1"/>
      <c r="I92" s="13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6" x14ac:dyDescent="0.3">
      <c r="A93" s="3"/>
      <c r="B93" s="3"/>
      <c r="C93" s="3"/>
      <c r="D93" s="3"/>
      <c r="E93" s="3"/>
      <c r="F93" s="1"/>
      <c r="G93" s="1"/>
      <c r="H93" s="1"/>
      <c r="I93" s="13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6" x14ac:dyDescent="0.3">
      <c r="A94" s="3"/>
      <c r="B94" s="3"/>
      <c r="C94" s="3"/>
      <c r="D94" s="3"/>
      <c r="E94" s="3"/>
      <c r="F94" s="1"/>
      <c r="G94" s="1"/>
      <c r="H94" s="1"/>
      <c r="I94" s="13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6" x14ac:dyDescent="0.3">
      <c r="A95" s="3"/>
      <c r="B95" s="3"/>
      <c r="C95" s="3"/>
      <c r="D95" s="3"/>
      <c r="E95" s="3"/>
      <c r="F95" s="1"/>
      <c r="G95" s="1"/>
      <c r="H95" s="1"/>
      <c r="I95" s="1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6" x14ac:dyDescent="0.3">
      <c r="A96" s="3"/>
      <c r="B96" s="3"/>
      <c r="C96" s="3"/>
      <c r="D96" s="3"/>
      <c r="E96" s="3"/>
      <c r="F96" s="1"/>
      <c r="G96" s="1"/>
      <c r="H96" s="1"/>
      <c r="I96" s="13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6" x14ac:dyDescent="0.3">
      <c r="A97" s="3"/>
      <c r="B97" s="3"/>
      <c r="C97" s="3"/>
      <c r="D97" s="3"/>
      <c r="E97" s="3"/>
      <c r="F97" s="1"/>
      <c r="G97" s="1"/>
      <c r="H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6" x14ac:dyDescent="0.3">
      <c r="A98" s="3"/>
      <c r="B98" s="3"/>
      <c r="C98" s="3"/>
      <c r="D98" s="3"/>
      <c r="E98" s="3"/>
      <c r="F98" s="1"/>
      <c r="G98" s="1"/>
      <c r="H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6" x14ac:dyDescent="0.3">
      <c r="A99" s="3"/>
      <c r="B99" s="3"/>
      <c r="C99" s="3"/>
      <c r="D99" s="3"/>
      <c r="E99" s="3"/>
      <c r="F99" s="1"/>
      <c r="G99" s="1"/>
      <c r="H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6" x14ac:dyDescent="0.3">
      <c r="A100" s="3"/>
      <c r="B100" s="3"/>
      <c r="C100" s="3"/>
      <c r="D100" s="3"/>
      <c r="E100" s="3"/>
      <c r="F100" s="1"/>
      <c r="G100" s="1"/>
      <c r="H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6" x14ac:dyDescent="0.3">
      <c r="A101" s="3"/>
      <c r="B101" s="3"/>
      <c r="C101" s="3"/>
      <c r="D101" s="3"/>
      <c r="E101" s="3"/>
      <c r="F101" s="1"/>
      <c r="G101" s="1"/>
      <c r="H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6" x14ac:dyDescent="0.3">
      <c r="A102" s="3"/>
      <c r="B102" s="3"/>
      <c r="C102" s="3"/>
      <c r="D102" s="3"/>
      <c r="E102" s="3"/>
      <c r="F102" s="1"/>
      <c r="G102" s="1"/>
      <c r="H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6" x14ac:dyDescent="0.3">
      <c r="A103" s="3"/>
      <c r="B103" s="3"/>
      <c r="C103" s="3"/>
      <c r="D103" s="3"/>
      <c r="E103" s="3"/>
      <c r="F103" s="1"/>
      <c r="G103" s="1"/>
      <c r="H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6" x14ac:dyDescent="0.3">
      <c r="A104" s="3"/>
      <c r="B104" s="3"/>
      <c r="C104" s="3"/>
      <c r="D104" s="3"/>
      <c r="E104" s="3"/>
      <c r="F104" s="1"/>
      <c r="G104" s="1"/>
      <c r="H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6" x14ac:dyDescent="0.3">
      <c r="A105" s="3"/>
      <c r="B105" s="3"/>
      <c r="C105" s="3"/>
      <c r="D105" s="3"/>
      <c r="E105" s="3"/>
      <c r="F105" s="1"/>
      <c r="G105" s="1"/>
      <c r="H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6" x14ac:dyDescent="0.3">
      <c r="A106" s="3"/>
      <c r="B106" s="3"/>
      <c r="C106" s="3"/>
      <c r="D106" s="3"/>
      <c r="E106" s="3"/>
      <c r="F106" s="1"/>
      <c r="G106" s="1"/>
      <c r="H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6" x14ac:dyDescent="0.3">
      <c r="A107" s="3"/>
      <c r="B107" s="3"/>
      <c r="C107" s="3"/>
      <c r="D107" s="3"/>
      <c r="E107" s="3"/>
      <c r="F107" s="1"/>
      <c r="G107" s="1"/>
      <c r="H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6" x14ac:dyDescent="0.3">
      <c r="A108" s="3"/>
      <c r="B108" s="3"/>
      <c r="C108" s="3"/>
      <c r="D108" s="3"/>
      <c r="E108" s="3"/>
      <c r="F108" s="1"/>
      <c r="G108" s="1"/>
      <c r="H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6" x14ac:dyDescent="0.3">
      <c r="A109" s="3"/>
      <c r="B109" s="3"/>
      <c r="C109" s="3"/>
      <c r="D109" s="3"/>
      <c r="E109" s="3"/>
      <c r="F109" s="1"/>
      <c r="G109" s="1"/>
      <c r="H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6" x14ac:dyDescent="0.3">
      <c r="A110" s="3"/>
      <c r="B110" s="3"/>
      <c r="C110" s="3"/>
      <c r="D110" s="3"/>
      <c r="E110" s="3"/>
      <c r="F110" s="1"/>
      <c r="G110" s="1"/>
      <c r="H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6" x14ac:dyDescent="0.3">
      <c r="A111" s="3"/>
      <c r="B111" s="3"/>
      <c r="C111" s="3"/>
      <c r="D111" s="3"/>
      <c r="E111" s="3"/>
      <c r="F111" s="1"/>
      <c r="G111" s="1"/>
      <c r="H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6" x14ac:dyDescent="0.3">
      <c r="A112" s="3"/>
      <c r="B112" s="3"/>
      <c r="C112" s="3"/>
      <c r="D112" s="3"/>
      <c r="E112" s="3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6" x14ac:dyDescent="0.3">
      <c r="A113" s="3"/>
      <c r="B113" s="3"/>
      <c r="C113" s="3"/>
      <c r="D113" s="3"/>
      <c r="E113" s="3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6" x14ac:dyDescent="0.3">
      <c r="A114" s="3"/>
      <c r="B114" s="3"/>
      <c r="C114" s="3"/>
      <c r="D114" s="3"/>
      <c r="E114" s="3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6" x14ac:dyDescent="0.3">
      <c r="A115" s="3"/>
      <c r="B115" s="3"/>
      <c r="C115" s="3"/>
      <c r="D115" s="3"/>
      <c r="E115" s="3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6" x14ac:dyDescent="0.3">
      <c r="A116" s="3"/>
      <c r="B116" s="3"/>
      <c r="C116" s="3"/>
      <c r="D116" s="3"/>
      <c r="E116" s="3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6" x14ac:dyDescent="0.3">
      <c r="A117" s="3"/>
      <c r="B117" s="3"/>
      <c r="C117" s="3"/>
      <c r="D117" s="3"/>
      <c r="E117" s="3"/>
      <c r="F117" s="1"/>
      <c r="G117" s="1"/>
      <c r="H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6" x14ac:dyDescent="0.3">
      <c r="A118" s="3"/>
      <c r="B118" s="3"/>
      <c r="C118" s="3"/>
      <c r="D118" s="3"/>
      <c r="E118" s="3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6" x14ac:dyDescent="0.3">
      <c r="A119" s="3"/>
      <c r="B119" s="3"/>
      <c r="C119" s="3"/>
      <c r="D119" s="3"/>
      <c r="E119" s="3"/>
      <c r="F119" s="1"/>
      <c r="G119" s="1"/>
      <c r="H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6" x14ac:dyDescent="0.3">
      <c r="A120" s="3"/>
      <c r="B120" s="3"/>
      <c r="C120" s="3"/>
      <c r="D120" s="3"/>
      <c r="E120" s="3"/>
      <c r="F120" s="1"/>
      <c r="G120" s="1"/>
      <c r="H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6" x14ac:dyDescent="0.3">
      <c r="A121" s="3"/>
      <c r="B121" s="3"/>
      <c r="C121" s="3"/>
      <c r="D121" s="3"/>
      <c r="E121" s="3"/>
      <c r="F121" s="1"/>
      <c r="G121" s="1"/>
      <c r="H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6" x14ac:dyDescent="0.3">
      <c r="A122" s="3"/>
      <c r="B122" s="3"/>
      <c r="C122" s="3"/>
      <c r="D122" s="3"/>
      <c r="E122" s="3"/>
      <c r="F122" s="1"/>
      <c r="G122" s="1"/>
      <c r="H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6" x14ac:dyDescent="0.3">
      <c r="A123" s="3"/>
      <c r="B123" s="3"/>
      <c r="C123" s="3"/>
      <c r="D123" s="3"/>
      <c r="E123" s="3"/>
      <c r="F123" s="1"/>
      <c r="G123" s="1"/>
      <c r="H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6" x14ac:dyDescent="0.3">
      <c r="A124" s="3"/>
      <c r="B124" s="3"/>
      <c r="C124" s="3"/>
      <c r="D124" s="3"/>
      <c r="E124" s="3"/>
      <c r="F124" s="1"/>
      <c r="G124" s="1"/>
      <c r="H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6" x14ac:dyDescent="0.3">
      <c r="A125" s="3"/>
      <c r="B125" s="3"/>
      <c r="C125" s="3"/>
      <c r="D125" s="3"/>
      <c r="E125" s="3"/>
      <c r="F125" s="1"/>
      <c r="G125" s="1"/>
      <c r="H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3E43-13FC-4AA5-A472-8B0F832DC382}">
  <dimension ref="A1:Z22"/>
  <sheetViews>
    <sheetView topLeftCell="D4" workbookViewId="0">
      <selection activeCell="G5" sqref="G5"/>
    </sheetView>
  </sheetViews>
  <sheetFormatPr defaultColWidth="11.5546875" defaultRowHeight="14.4" x14ac:dyDescent="0.3"/>
  <cols>
    <col min="1" max="1" width="15.6640625" style="2" bestFit="1" customWidth="1"/>
    <col min="2" max="3" width="22.44140625" bestFit="1" customWidth="1"/>
    <col min="4" max="4" width="20.109375" bestFit="1" customWidth="1"/>
    <col min="5" max="5" width="6" bestFit="1" customWidth="1"/>
    <col min="6" max="6" width="28.33203125" bestFit="1" customWidth="1"/>
    <col min="7" max="7" width="27.109375" bestFit="1" customWidth="1"/>
    <col min="8" max="8" width="3.33203125" bestFit="1" customWidth="1"/>
    <col min="9" max="9" width="26.5546875" bestFit="1" customWidth="1"/>
    <col min="10" max="10" width="30.88671875" bestFit="1" customWidth="1"/>
    <col min="11" max="11" width="9.33203125" bestFit="1" customWidth="1"/>
    <col min="12" max="12" width="33" bestFit="1" customWidth="1"/>
  </cols>
  <sheetData>
    <row r="1" spans="1:26" ht="15.6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3" t="s">
        <v>13</v>
      </c>
      <c r="B2" s="3" t="s">
        <v>82</v>
      </c>
      <c r="C2" s="3"/>
      <c r="D2" s="3" t="s">
        <v>16</v>
      </c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3"/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6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8" t="s">
        <v>10</v>
      </c>
      <c r="K4" s="8" t="s">
        <v>11</v>
      </c>
      <c r="L4" s="8" t="s">
        <v>12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6" x14ac:dyDescent="0.3">
      <c r="A5" s="3">
        <v>1</v>
      </c>
      <c r="B5" s="3" t="s">
        <v>87</v>
      </c>
      <c r="C5" s="3" t="s">
        <v>88</v>
      </c>
      <c r="D5" s="4">
        <v>45052</v>
      </c>
      <c r="E5" s="5">
        <v>0.79861111111111116</v>
      </c>
      <c r="F5" s="1" t="s">
        <v>89</v>
      </c>
      <c r="G5" s="7" t="s">
        <v>83</v>
      </c>
      <c r="H5" s="1">
        <v>1</v>
      </c>
      <c r="I5" s="1" t="s">
        <v>96</v>
      </c>
      <c r="J5" s="1" t="s">
        <v>20</v>
      </c>
      <c r="K5" s="1"/>
      <c r="L5" s="1" t="s">
        <v>45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3">
        <v>1</v>
      </c>
      <c r="B6" s="3" t="s">
        <v>87</v>
      </c>
      <c r="C6" s="3" t="s">
        <v>88</v>
      </c>
      <c r="D6" s="4">
        <v>45052</v>
      </c>
      <c r="E6" s="5">
        <v>0.79861111111111116</v>
      </c>
      <c r="F6" s="1" t="s">
        <v>90</v>
      </c>
      <c r="G6" s="7" t="s">
        <v>60</v>
      </c>
      <c r="H6" s="1">
        <v>8</v>
      </c>
      <c r="I6" s="1" t="s">
        <v>96</v>
      </c>
      <c r="J6" s="1" t="s">
        <v>20</v>
      </c>
      <c r="K6" s="1" t="s">
        <v>256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3">
        <v>1</v>
      </c>
      <c r="B7" s="3" t="s">
        <v>87</v>
      </c>
      <c r="C7" s="3" t="s">
        <v>88</v>
      </c>
      <c r="D7" s="4">
        <v>45052</v>
      </c>
      <c r="E7" s="5">
        <v>0.79861111111111116</v>
      </c>
      <c r="F7" s="1" t="s">
        <v>55</v>
      </c>
      <c r="G7" s="7" t="s">
        <v>56</v>
      </c>
      <c r="H7" s="1">
        <v>7</v>
      </c>
      <c r="I7" s="1" t="s">
        <v>96</v>
      </c>
      <c r="J7" s="1" t="s">
        <v>20</v>
      </c>
      <c r="K7" s="1" t="s">
        <v>257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3">
        <v>1</v>
      </c>
      <c r="B8" s="3" t="s">
        <v>87</v>
      </c>
      <c r="C8" s="3" t="s">
        <v>88</v>
      </c>
      <c r="D8" s="4">
        <v>45052</v>
      </c>
      <c r="E8" s="5">
        <v>0.79861111111111116</v>
      </c>
      <c r="F8" s="1" t="s">
        <v>28</v>
      </c>
      <c r="G8" s="7" t="s">
        <v>29</v>
      </c>
      <c r="H8" s="1">
        <v>1</v>
      </c>
      <c r="I8" s="1" t="s">
        <v>96</v>
      </c>
      <c r="J8" s="1" t="s">
        <v>20</v>
      </c>
      <c r="K8" s="1" t="s">
        <v>255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6" x14ac:dyDescent="0.3">
      <c r="A9" s="3">
        <v>1</v>
      </c>
      <c r="B9" s="3" t="s">
        <v>87</v>
      </c>
      <c r="C9" s="3" t="s">
        <v>88</v>
      </c>
      <c r="D9" s="4">
        <v>45052</v>
      </c>
      <c r="E9" s="5">
        <v>0.79861111111111116</v>
      </c>
      <c r="F9" s="1" t="s">
        <v>37</v>
      </c>
      <c r="G9" s="7" t="s">
        <v>38</v>
      </c>
      <c r="H9" s="1">
        <v>4</v>
      </c>
      <c r="I9" s="1" t="s">
        <v>96</v>
      </c>
      <c r="J9" s="1" t="s">
        <v>20</v>
      </c>
      <c r="K9" s="1" t="s">
        <v>258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6" x14ac:dyDescent="0.3">
      <c r="A10" s="3">
        <v>1</v>
      </c>
      <c r="B10" s="3" t="s">
        <v>87</v>
      </c>
      <c r="C10" s="3" t="s">
        <v>88</v>
      </c>
      <c r="D10" s="4">
        <v>45052</v>
      </c>
      <c r="E10" s="5">
        <v>0.79861111111111116</v>
      </c>
      <c r="F10" s="1" t="s">
        <v>32</v>
      </c>
      <c r="G10" s="7" t="s">
        <v>33</v>
      </c>
      <c r="H10" s="1">
        <v>5</v>
      </c>
      <c r="I10" s="1" t="s">
        <v>96</v>
      </c>
      <c r="J10" s="1" t="s">
        <v>20</v>
      </c>
      <c r="K10" s="1" t="s">
        <v>261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6" x14ac:dyDescent="0.3">
      <c r="A11" s="3">
        <v>1</v>
      </c>
      <c r="B11" s="3" t="s">
        <v>87</v>
      </c>
      <c r="C11" s="3" t="s">
        <v>88</v>
      </c>
      <c r="D11" s="4">
        <v>45052</v>
      </c>
      <c r="E11" s="5">
        <v>0.79861111111111116</v>
      </c>
      <c r="F11" s="1" t="s">
        <v>57</v>
      </c>
      <c r="G11" s="7" t="s">
        <v>58</v>
      </c>
      <c r="H11" s="1">
        <v>2</v>
      </c>
      <c r="I11" s="1" t="s">
        <v>97</v>
      </c>
      <c r="J11" s="1" t="s">
        <v>20</v>
      </c>
      <c r="K11" s="1" t="s">
        <v>260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6" x14ac:dyDescent="0.3">
      <c r="A12" s="3">
        <v>1</v>
      </c>
      <c r="B12" s="3" t="s">
        <v>87</v>
      </c>
      <c r="C12" s="3" t="s">
        <v>88</v>
      </c>
      <c r="D12" s="4">
        <v>45052</v>
      </c>
      <c r="E12" s="5">
        <v>0.79861111111111116</v>
      </c>
      <c r="F12" s="1" t="s">
        <v>91</v>
      </c>
      <c r="G12" s="7" t="s">
        <v>84</v>
      </c>
      <c r="H12" s="1">
        <v>1</v>
      </c>
      <c r="I12" s="1" t="s">
        <v>97</v>
      </c>
      <c r="J12" s="1" t="s">
        <v>20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3">
        <v>1</v>
      </c>
      <c r="B13" s="3" t="s">
        <v>87</v>
      </c>
      <c r="C13" s="3" t="s">
        <v>88</v>
      </c>
      <c r="D13" s="4">
        <v>45052</v>
      </c>
      <c r="E13" s="5">
        <v>0.79861111111111116</v>
      </c>
      <c r="F13" s="1" t="s">
        <v>92</v>
      </c>
      <c r="G13" s="7" t="s">
        <v>85</v>
      </c>
      <c r="H13" s="1">
        <v>1</v>
      </c>
      <c r="I13" s="1" t="s">
        <v>97</v>
      </c>
      <c r="J13" s="1" t="s">
        <v>20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3">
        <v>2</v>
      </c>
      <c r="B14" s="3" t="s">
        <v>94</v>
      </c>
      <c r="C14" s="3" t="s">
        <v>95</v>
      </c>
      <c r="D14" s="4">
        <v>45052</v>
      </c>
      <c r="E14" s="5">
        <v>0.93055555555555547</v>
      </c>
      <c r="F14" s="1" t="s">
        <v>55</v>
      </c>
      <c r="G14" s="7" t="s">
        <v>56</v>
      </c>
      <c r="H14" s="1">
        <v>9</v>
      </c>
      <c r="I14" s="1" t="s">
        <v>48</v>
      </c>
      <c r="J14" s="1" t="s">
        <v>20</v>
      </c>
      <c r="K14" s="1" t="s">
        <v>263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6" x14ac:dyDescent="0.3">
      <c r="A15" s="3">
        <v>2</v>
      </c>
      <c r="B15" s="3" t="s">
        <v>94</v>
      </c>
      <c r="C15" s="3" t="s">
        <v>95</v>
      </c>
      <c r="D15" s="4">
        <v>45052</v>
      </c>
      <c r="E15" s="5">
        <v>0.93055555555555547</v>
      </c>
      <c r="F15" s="1" t="s">
        <v>90</v>
      </c>
      <c r="G15" s="7" t="s">
        <v>60</v>
      </c>
      <c r="H15" s="1">
        <v>26</v>
      </c>
      <c r="I15" s="1" t="s">
        <v>48</v>
      </c>
      <c r="J15" s="1" t="s">
        <v>20</v>
      </c>
      <c r="K15" s="1" t="s">
        <v>259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3">
        <v>2</v>
      </c>
      <c r="B16" s="3" t="s">
        <v>94</v>
      </c>
      <c r="C16" s="3" t="s">
        <v>95</v>
      </c>
      <c r="D16" s="4">
        <v>45052</v>
      </c>
      <c r="E16" s="5">
        <v>0.93055555555555547</v>
      </c>
      <c r="F16" s="1" t="s">
        <v>92</v>
      </c>
      <c r="G16" s="7" t="s">
        <v>85</v>
      </c>
      <c r="H16" s="1">
        <v>1</v>
      </c>
      <c r="I16" s="1" t="s">
        <v>48</v>
      </c>
      <c r="J16" s="1" t="s">
        <v>20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3">
        <v>2</v>
      </c>
      <c r="B17" s="3" t="s">
        <v>94</v>
      </c>
      <c r="C17" s="3" t="s">
        <v>95</v>
      </c>
      <c r="D17" s="4">
        <v>45052</v>
      </c>
      <c r="E17" s="5">
        <v>0.93055555555555547</v>
      </c>
      <c r="F17" s="1" t="s">
        <v>37</v>
      </c>
      <c r="G17" s="7" t="s">
        <v>38</v>
      </c>
      <c r="H17" s="1">
        <v>1</v>
      </c>
      <c r="I17" s="1" t="s">
        <v>48</v>
      </c>
      <c r="J17" s="1" t="s">
        <v>20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6" x14ac:dyDescent="0.3">
      <c r="A18" s="3">
        <v>2</v>
      </c>
      <c r="B18" s="3" t="s">
        <v>94</v>
      </c>
      <c r="C18" s="3" t="s">
        <v>95</v>
      </c>
      <c r="D18" s="4">
        <v>45052</v>
      </c>
      <c r="E18" s="5">
        <v>0.93055555555555547</v>
      </c>
      <c r="F18" s="1" t="s">
        <v>93</v>
      </c>
      <c r="G18" s="7" t="s">
        <v>86</v>
      </c>
      <c r="H18" s="1">
        <v>1</v>
      </c>
      <c r="I18" s="1" t="s">
        <v>36</v>
      </c>
      <c r="J18" s="1" t="s">
        <v>20</v>
      </c>
      <c r="K18" s="1" t="s">
        <v>262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3">
        <v>3</v>
      </c>
      <c r="B19" s="3" t="s">
        <v>94</v>
      </c>
      <c r="C19" s="3" t="s">
        <v>95</v>
      </c>
      <c r="D19" s="4">
        <v>45053</v>
      </c>
      <c r="E19" s="6">
        <v>0.33333333333333331</v>
      </c>
      <c r="F19" s="1" t="s">
        <v>89</v>
      </c>
      <c r="G19" s="7" t="s">
        <v>83</v>
      </c>
      <c r="H19" s="1">
        <v>1</v>
      </c>
      <c r="I19" s="1" t="s">
        <v>48</v>
      </c>
      <c r="J19" s="1" t="s">
        <v>20</v>
      </c>
      <c r="K19" s="1" t="s">
        <v>264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3">
        <v>3</v>
      </c>
      <c r="B20" s="3" t="s">
        <v>94</v>
      </c>
      <c r="C20" s="3" t="s">
        <v>95</v>
      </c>
      <c r="D20" s="4">
        <v>45053</v>
      </c>
      <c r="E20" s="6">
        <v>0.33333333333333331</v>
      </c>
      <c r="F20" s="1" t="s">
        <v>90</v>
      </c>
      <c r="G20" s="7" t="s">
        <v>60</v>
      </c>
      <c r="H20" s="1">
        <v>6</v>
      </c>
      <c r="I20" s="1" t="s">
        <v>48</v>
      </c>
      <c r="J20" s="1" t="s">
        <v>20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6" x14ac:dyDescent="0.3">
      <c r="A21" s="3">
        <v>3</v>
      </c>
      <c r="B21" s="3" t="s">
        <v>94</v>
      </c>
      <c r="C21" s="3" t="s">
        <v>95</v>
      </c>
      <c r="D21" s="4">
        <v>45053</v>
      </c>
      <c r="E21" s="6">
        <v>0.33333333333333331</v>
      </c>
      <c r="F21" s="1" t="s">
        <v>68</v>
      </c>
      <c r="G21" s="7" t="s">
        <v>67</v>
      </c>
      <c r="H21" s="1">
        <v>1</v>
      </c>
      <c r="I21" s="1" t="s">
        <v>48</v>
      </c>
      <c r="J21" s="1" t="s">
        <v>20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6" x14ac:dyDescent="0.3">
      <c r="A22" s="3">
        <v>3</v>
      </c>
      <c r="B22" s="3" t="s">
        <v>94</v>
      </c>
      <c r="C22" s="3" t="s">
        <v>95</v>
      </c>
      <c r="D22" s="4">
        <v>45053</v>
      </c>
      <c r="E22" s="6">
        <v>0.33333333333333331</v>
      </c>
      <c r="F22" s="1" t="s">
        <v>55</v>
      </c>
      <c r="G22" s="7" t="s">
        <v>56</v>
      </c>
      <c r="H22" s="1">
        <v>5</v>
      </c>
      <c r="I22" s="1" t="s">
        <v>48</v>
      </c>
      <c r="J22" s="1" t="s">
        <v>20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993C-E0EA-41F1-8D6D-E23AA68918C2}">
  <dimension ref="A1:R15"/>
  <sheetViews>
    <sheetView zoomScale="98" zoomScaleNormal="131" workbookViewId="0">
      <selection activeCell="G5" sqref="G5:G15"/>
    </sheetView>
  </sheetViews>
  <sheetFormatPr defaultColWidth="11.5546875" defaultRowHeight="14.4" x14ac:dyDescent="0.3"/>
  <cols>
    <col min="1" max="1" width="15.6640625" style="2" bestFit="1" customWidth="1"/>
    <col min="2" max="3" width="22.44140625" bestFit="1" customWidth="1"/>
    <col min="4" max="4" width="20.109375" bestFit="1" customWidth="1"/>
    <col min="5" max="5" width="7.77734375" customWidth="1"/>
    <col min="6" max="6" width="26.109375" bestFit="1" customWidth="1"/>
    <col min="7" max="7" width="21.109375" bestFit="1" customWidth="1"/>
    <col min="8" max="8" width="4.21875" customWidth="1"/>
    <col min="9" max="10" width="40" customWidth="1"/>
    <col min="11" max="11" width="32.21875" customWidth="1"/>
    <col min="12" max="12" width="11.21875" customWidth="1"/>
    <col min="13" max="13" width="34.21875" customWidth="1"/>
  </cols>
  <sheetData>
    <row r="1" spans="1:18" ht="15.6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G1" s="1"/>
      <c r="H1" s="1"/>
      <c r="I1" s="1"/>
      <c r="J1" s="1"/>
      <c r="K1" s="1"/>
      <c r="L1" s="1"/>
      <c r="M1" s="1"/>
    </row>
    <row r="2" spans="1:18" ht="15.6" x14ac:dyDescent="0.3">
      <c r="A2" s="3" t="s">
        <v>13</v>
      </c>
      <c r="B2" s="3" t="s">
        <v>98</v>
      </c>
      <c r="C2" s="3"/>
      <c r="D2" s="3" t="s">
        <v>16</v>
      </c>
      <c r="E2" s="3"/>
      <c r="F2" s="1"/>
      <c r="G2" s="1"/>
      <c r="H2" s="1"/>
      <c r="I2" s="1"/>
      <c r="J2" s="1"/>
      <c r="K2" s="1"/>
      <c r="L2" s="1"/>
      <c r="M2" s="1"/>
    </row>
    <row r="3" spans="1:18" ht="15.6" x14ac:dyDescent="0.3">
      <c r="A3" s="3"/>
      <c r="B3" s="3"/>
      <c r="C3" s="3"/>
      <c r="D3" s="3"/>
      <c r="E3" s="3"/>
      <c r="F3" s="1"/>
      <c r="G3" s="1"/>
      <c r="H3" s="1"/>
      <c r="I3" s="1"/>
      <c r="J3" s="1"/>
      <c r="K3" s="1"/>
      <c r="L3" s="1"/>
      <c r="M3" s="1"/>
    </row>
    <row r="4" spans="1:18" ht="15.6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9" t="s">
        <v>5</v>
      </c>
      <c r="I4" s="8" t="s">
        <v>9</v>
      </c>
      <c r="J4" s="8" t="s">
        <v>407</v>
      </c>
      <c r="K4" s="8" t="s">
        <v>10</v>
      </c>
      <c r="L4" s="8" t="s">
        <v>11</v>
      </c>
      <c r="M4" s="8" t="s">
        <v>12</v>
      </c>
    </row>
    <row r="5" spans="1:18" ht="15.6" x14ac:dyDescent="0.3">
      <c r="A5" s="3">
        <v>1</v>
      </c>
      <c r="B5" s="3" t="s">
        <v>110</v>
      </c>
      <c r="C5" s="3" t="s">
        <v>111</v>
      </c>
      <c r="D5" s="4">
        <v>45036</v>
      </c>
      <c r="E5" s="5">
        <v>0.65277777777777779</v>
      </c>
      <c r="F5" s="1" t="s">
        <v>21</v>
      </c>
      <c r="G5" s="7" t="s">
        <v>22</v>
      </c>
      <c r="H5" s="1">
        <v>2</v>
      </c>
      <c r="I5" s="1" t="s">
        <v>36</v>
      </c>
      <c r="J5" s="14" t="s">
        <v>410</v>
      </c>
      <c r="K5" s="1" t="s">
        <v>20</v>
      </c>
      <c r="L5" s="1"/>
      <c r="M5" s="1"/>
      <c r="N5" s="1"/>
      <c r="O5" s="1"/>
      <c r="P5" s="1"/>
      <c r="Q5" s="1"/>
      <c r="R5" s="1"/>
    </row>
    <row r="6" spans="1:18" ht="15.6" x14ac:dyDescent="0.3">
      <c r="A6" s="3">
        <v>1</v>
      </c>
      <c r="B6" s="3" t="s">
        <v>110</v>
      </c>
      <c r="C6" s="3" t="s">
        <v>111</v>
      </c>
      <c r="D6" s="4">
        <v>45036</v>
      </c>
      <c r="E6" s="5">
        <v>0.65277777777777779</v>
      </c>
      <c r="F6" s="1" t="s">
        <v>40</v>
      </c>
      <c r="G6" s="7" t="s">
        <v>99</v>
      </c>
      <c r="H6" s="1">
        <v>3</v>
      </c>
      <c r="I6" s="1" t="s">
        <v>36</v>
      </c>
      <c r="J6" s="14" t="s">
        <v>410</v>
      </c>
      <c r="K6" s="1" t="s">
        <v>20</v>
      </c>
      <c r="L6" s="1"/>
      <c r="M6" s="1"/>
      <c r="N6" s="1"/>
      <c r="O6" s="1"/>
      <c r="P6" s="1"/>
      <c r="Q6" s="1"/>
      <c r="R6" s="1"/>
    </row>
    <row r="7" spans="1:18" ht="15.6" x14ac:dyDescent="0.3">
      <c r="A7" s="3">
        <v>1</v>
      </c>
      <c r="B7" s="3" t="s">
        <v>110</v>
      </c>
      <c r="C7" s="3" t="s">
        <v>111</v>
      </c>
      <c r="D7" s="4">
        <v>45036</v>
      </c>
      <c r="E7" s="5">
        <v>0.65277777777777779</v>
      </c>
      <c r="F7" s="1" t="s">
        <v>105</v>
      </c>
      <c r="G7" s="7" t="s">
        <v>100</v>
      </c>
      <c r="H7" s="1">
        <v>1</v>
      </c>
      <c r="I7" s="1" t="s">
        <v>36</v>
      </c>
      <c r="J7" s="14" t="s">
        <v>410</v>
      </c>
      <c r="K7" s="1" t="s">
        <v>20</v>
      </c>
      <c r="L7" s="1"/>
      <c r="M7" s="1"/>
      <c r="N7" s="1"/>
      <c r="O7" s="1"/>
      <c r="P7" s="1"/>
      <c r="Q7" s="1"/>
      <c r="R7" s="1"/>
    </row>
    <row r="8" spans="1:18" ht="15.6" x14ac:dyDescent="0.3">
      <c r="A8" s="3">
        <v>2</v>
      </c>
      <c r="B8" s="1" t="s">
        <v>112</v>
      </c>
      <c r="C8" s="1" t="s">
        <v>113</v>
      </c>
      <c r="D8" s="4">
        <v>45036</v>
      </c>
      <c r="E8" s="6">
        <v>0.6875</v>
      </c>
      <c r="F8" s="1" t="s">
        <v>21</v>
      </c>
      <c r="G8" s="7" t="s">
        <v>22</v>
      </c>
      <c r="H8" s="1">
        <v>2</v>
      </c>
      <c r="I8" s="1" t="s">
        <v>36</v>
      </c>
      <c r="J8" s="14" t="s">
        <v>410</v>
      </c>
      <c r="K8" s="1" t="s">
        <v>20</v>
      </c>
      <c r="L8" s="1"/>
      <c r="M8" s="1"/>
      <c r="N8" s="1"/>
      <c r="O8" s="1"/>
      <c r="P8" s="1"/>
      <c r="Q8" s="1"/>
      <c r="R8" s="1"/>
    </row>
    <row r="9" spans="1:18" ht="15.6" x14ac:dyDescent="0.3">
      <c r="A9" s="3">
        <v>2</v>
      </c>
      <c r="B9" s="1" t="s">
        <v>112</v>
      </c>
      <c r="C9" s="1" t="s">
        <v>113</v>
      </c>
      <c r="D9" s="4">
        <v>45036</v>
      </c>
      <c r="E9" s="6">
        <v>0.6875</v>
      </c>
      <c r="F9" s="1" t="s">
        <v>40</v>
      </c>
      <c r="G9" s="7" t="s">
        <v>99</v>
      </c>
      <c r="H9" s="1">
        <v>2</v>
      </c>
      <c r="I9" s="1" t="s">
        <v>36</v>
      </c>
      <c r="J9" s="14" t="s">
        <v>410</v>
      </c>
      <c r="K9" s="1" t="s">
        <v>20</v>
      </c>
      <c r="L9" s="1"/>
      <c r="M9" s="1"/>
      <c r="N9" s="1"/>
      <c r="O9" s="1"/>
      <c r="P9" s="1"/>
      <c r="Q9" s="1"/>
      <c r="R9" s="1"/>
    </row>
    <row r="10" spans="1:18" ht="15.6" x14ac:dyDescent="0.3">
      <c r="A10" s="3">
        <v>3</v>
      </c>
      <c r="B10" s="3" t="s">
        <v>113</v>
      </c>
      <c r="C10" s="1" t="s">
        <v>114</v>
      </c>
      <c r="D10" s="4">
        <v>45036</v>
      </c>
      <c r="E10" s="6">
        <v>0.72916666666666663</v>
      </c>
      <c r="F10" s="1" t="s">
        <v>21</v>
      </c>
      <c r="G10" s="7" t="s">
        <v>22</v>
      </c>
      <c r="H10" s="1">
        <v>7</v>
      </c>
      <c r="I10" s="1" t="s">
        <v>36</v>
      </c>
      <c r="J10" s="14" t="s">
        <v>410</v>
      </c>
      <c r="K10" s="1" t="s">
        <v>20</v>
      </c>
      <c r="L10" s="1"/>
      <c r="M10" s="1"/>
      <c r="N10" s="1"/>
      <c r="O10" s="1"/>
      <c r="P10" s="1"/>
      <c r="Q10" s="1"/>
      <c r="R10" s="1"/>
    </row>
    <row r="11" spans="1:18" ht="15.6" x14ac:dyDescent="0.3">
      <c r="A11" s="3">
        <v>3</v>
      </c>
      <c r="B11" s="3" t="s">
        <v>113</v>
      </c>
      <c r="C11" s="1" t="s">
        <v>114</v>
      </c>
      <c r="D11" s="4">
        <v>45036</v>
      </c>
      <c r="E11" s="6">
        <v>0.72916666666666663</v>
      </c>
      <c r="F11" s="1" t="s">
        <v>62</v>
      </c>
      <c r="G11" s="7" t="s">
        <v>63</v>
      </c>
      <c r="H11" s="1">
        <v>1</v>
      </c>
      <c r="I11" s="1" t="s">
        <v>36</v>
      </c>
      <c r="J11" s="14" t="s">
        <v>410</v>
      </c>
      <c r="K11" s="1" t="s">
        <v>20</v>
      </c>
      <c r="L11" s="1"/>
      <c r="M11" s="1"/>
      <c r="N11" s="1"/>
      <c r="O11" s="1"/>
      <c r="P11" s="1"/>
      <c r="Q11" s="1"/>
      <c r="R11" s="1"/>
    </row>
    <row r="12" spans="1:18" ht="15.6" x14ac:dyDescent="0.3">
      <c r="A12" s="3">
        <v>3</v>
      </c>
      <c r="B12" s="3" t="s">
        <v>113</v>
      </c>
      <c r="C12" s="1" t="s">
        <v>114</v>
      </c>
      <c r="D12" s="4">
        <v>45036</v>
      </c>
      <c r="E12" s="6">
        <v>0.72916666666666663</v>
      </c>
      <c r="F12" s="1" t="s">
        <v>106</v>
      </c>
      <c r="G12" s="7" t="s">
        <v>101</v>
      </c>
      <c r="H12" s="1">
        <v>1</v>
      </c>
      <c r="I12" s="1" t="s">
        <v>36</v>
      </c>
      <c r="J12" s="14" t="s">
        <v>410</v>
      </c>
      <c r="K12" s="1" t="s">
        <v>20</v>
      </c>
      <c r="L12" s="1" t="s">
        <v>317</v>
      </c>
      <c r="M12" s="1"/>
      <c r="N12" s="1"/>
      <c r="O12" s="1"/>
      <c r="P12" s="1"/>
      <c r="Q12" s="1"/>
      <c r="R12" s="1"/>
    </row>
    <row r="13" spans="1:18" ht="15.6" x14ac:dyDescent="0.3">
      <c r="A13" s="3">
        <v>4</v>
      </c>
      <c r="B13" s="1" t="s">
        <v>115</v>
      </c>
      <c r="C13" s="1" t="s">
        <v>116</v>
      </c>
      <c r="D13" s="4">
        <v>45036</v>
      </c>
      <c r="E13" s="6">
        <v>0.84722222222222221</v>
      </c>
      <c r="F13" s="1" t="s">
        <v>107</v>
      </c>
      <c r="G13" s="7" t="s">
        <v>102</v>
      </c>
      <c r="H13" s="1">
        <v>1</v>
      </c>
      <c r="I13" s="1" t="s">
        <v>36</v>
      </c>
      <c r="J13" s="14" t="s">
        <v>410</v>
      </c>
      <c r="K13" s="1" t="s">
        <v>20</v>
      </c>
      <c r="L13" s="1"/>
      <c r="M13" s="1"/>
      <c r="N13" s="1"/>
      <c r="O13" s="1"/>
      <c r="P13" s="1"/>
      <c r="Q13" s="1"/>
      <c r="R13" s="1"/>
    </row>
    <row r="14" spans="1:18" ht="15.6" x14ac:dyDescent="0.3">
      <c r="A14" s="3">
        <v>4</v>
      </c>
      <c r="B14" s="1" t="s">
        <v>115</v>
      </c>
      <c r="C14" s="1" t="s">
        <v>116</v>
      </c>
      <c r="D14" s="4">
        <v>45036</v>
      </c>
      <c r="E14" s="6">
        <v>0.84722222222222221</v>
      </c>
      <c r="F14" s="1" t="s">
        <v>108</v>
      </c>
      <c r="G14" s="7" t="s">
        <v>103</v>
      </c>
      <c r="H14" s="1">
        <v>1</v>
      </c>
      <c r="I14" s="1" t="s">
        <v>36</v>
      </c>
      <c r="J14" s="14" t="s">
        <v>410</v>
      </c>
      <c r="K14" s="1" t="s">
        <v>20</v>
      </c>
      <c r="L14" s="1"/>
      <c r="M14" s="1"/>
      <c r="N14" s="1"/>
      <c r="O14" s="1"/>
      <c r="P14" s="1"/>
      <c r="Q14" s="1"/>
      <c r="R14" s="1"/>
    </row>
    <row r="15" spans="1:18" ht="15.6" x14ac:dyDescent="0.3">
      <c r="A15" s="3">
        <v>4</v>
      </c>
      <c r="B15" s="1" t="s">
        <v>115</v>
      </c>
      <c r="C15" s="1" t="s">
        <v>116</v>
      </c>
      <c r="D15" s="4">
        <v>45036</v>
      </c>
      <c r="E15" s="6">
        <v>0.84722222222222221</v>
      </c>
      <c r="F15" s="1" t="s">
        <v>109</v>
      </c>
      <c r="G15" s="7" t="s">
        <v>104</v>
      </c>
      <c r="H15" s="1">
        <v>1</v>
      </c>
      <c r="I15" s="1" t="s">
        <v>36</v>
      </c>
      <c r="J15" s="14" t="s">
        <v>410</v>
      </c>
      <c r="K15" s="1" t="s">
        <v>20</v>
      </c>
      <c r="L15" s="1"/>
      <c r="M15" s="1"/>
      <c r="N15" s="1"/>
      <c r="O15" s="1"/>
      <c r="P15" s="1"/>
      <c r="Q15" s="1"/>
      <c r="R15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396D9-4682-4E18-BD8F-665B60EF5C6A}">
  <dimension ref="A1:M29"/>
  <sheetViews>
    <sheetView zoomScaleNormal="100" workbookViewId="0">
      <selection activeCell="G7" sqref="G7:G29"/>
    </sheetView>
  </sheetViews>
  <sheetFormatPr defaultColWidth="11.5546875" defaultRowHeight="14.4" x14ac:dyDescent="0.3"/>
  <cols>
    <col min="1" max="1" width="15.88671875" bestFit="1" customWidth="1"/>
    <col min="2" max="3" width="22.44140625" bestFit="1" customWidth="1"/>
    <col min="4" max="4" width="20.33203125" style="2" bestFit="1" customWidth="1"/>
    <col min="5" max="5" width="7.6640625" customWidth="1"/>
    <col min="6" max="6" width="34.33203125" bestFit="1" customWidth="1"/>
    <col min="7" max="7" width="30.44140625" bestFit="1" customWidth="1"/>
    <col min="8" max="8" width="4" style="2" customWidth="1"/>
    <col min="9" max="9" width="43.109375" customWidth="1"/>
    <col min="10" max="10" width="27" style="16" customWidth="1"/>
    <col min="11" max="11" width="31.5546875" customWidth="1"/>
    <col min="12" max="12" width="11" customWidth="1"/>
    <col min="13" max="13" width="33.44140625" customWidth="1"/>
  </cols>
  <sheetData>
    <row r="1" spans="1:13" ht="15.6" x14ac:dyDescent="0.3">
      <c r="A1" s="9" t="s">
        <v>0</v>
      </c>
      <c r="B1" s="8" t="s">
        <v>1</v>
      </c>
      <c r="C1" s="8" t="s">
        <v>2</v>
      </c>
      <c r="D1" s="8" t="s">
        <v>4</v>
      </c>
      <c r="E1" s="8"/>
      <c r="F1" s="3"/>
      <c r="G1" s="1"/>
      <c r="H1" s="3"/>
      <c r="I1" s="1"/>
      <c r="J1" s="13"/>
      <c r="K1" s="1"/>
      <c r="L1" s="1"/>
      <c r="M1" s="1"/>
    </row>
    <row r="2" spans="1:13" ht="15.6" x14ac:dyDescent="0.3">
      <c r="A2" s="1" t="s">
        <v>13</v>
      </c>
      <c r="B2" s="3" t="s">
        <v>117</v>
      </c>
      <c r="C2" s="3"/>
      <c r="D2" s="3" t="s">
        <v>16</v>
      </c>
      <c r="E2" s="3"/>
      <c r="F2" s="1"/>
      <c r="G2" s="1"/>
      <c r="H2" s="3"/>
      <c r="I2" s="1"/>
      <c r="J2" s="13"/>
      <c r="K2" s="1"/>
      <c r="L2" s="1"/>
      <c r="M2" s="1"/>
    </row>
    <row r="3" spans="1:13" ht="15.6" x14ac:dyDescent="0.3">
      <c r="A3" s="1"/>
      <c r="B3" s="3"/>
      <c r="C3" s="3"/>
      <c r="D3" s="3"/>
      <c r="E3" s="3"/>
      <c r="F3" s="1"/>
      <c r="G3" s="1"/>
      <c r="H3" s="3"/>
      <c r="I3" s="1"/>
      <c r="J3" s="13"/>
      <c r="K3" s="1"/>
      <c r="L3" s="1"/>
      <c r="M3" s="1"/>
    </row>
    <row r="4" spans="1:13" ht="15.6" x14ac:dyDescent="0.3">
      <c r="A4" s="9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15" t="s">
        <v>407</v>
      </c>
      <c r="K4" s="8" t="s">
        <v>10</v>
      </c>
      <c r="L4" s="8" t="s">
        <v>11</v>
      </c>
      <c r="M4" s="8" t="s">
        <v>12</v>
      </c>
    </row>
    <row r="5" spans="1:13" ht="28.8" x14ac:dyDescent="0.3">
      <c r="A5" s="1">
        <v>1</v>
      </c>
      <c r="B5" s="3" t="s">
        <v>125</v>
      </c>
      <c r="C5" s="3" t="s">
        <v>126</v>
      </c>
      <c r="D5" s="4">
        <v>45037</v>
      </c>
      <c r="E5" s="5">
        <v>0.80555555555555547</v>
      </c>
      <c r="F5" s="1" t="s">
        <v>118</v>
      </c>
      <c r="G5" s="1" t="s">
        <v>118</v>
      </c>
      <c r="H5" s="3" t="s">
        <v>118</v>
      </c>
      <c r="I5" s="1" t="s">
        <v>118</v>
      </c>
      <c r="J5" s="14" t="s">
        <v>410</v>
      </c>
      <c r="K5" s="1" t="s">
        <v>118</v>
      </c>
      <c r="L5" s="1"/>
      <c r="M5" s="1"/>
    </row>
    <row r="6" spans="1:13" ht="28.8" x14ac:dyDescent="0.3">
      <c r="A6" s="1">
        <v>2</v>
      </c>
      <c r="B6" s="3" t="s">
        <v>126</v>
      </c>
      <c r="C6" s="3" t="s">
        <v>127</v>
      </c>
      <c r="D6" s="4">
        <v>45037</v>
      </c>
      <c r="E6" s="6">
        <v>0.84305555555555556</v>
      </c>
      <c r="F6" s="1" t="s">
        <v>118</v>
      </c>
      <c r="G6" s="1" t="s">
        <v>118</v>
      </c>
      <c r="H6" s="3" t="s">
        <v>118</v>
      </c>
      <c r="I6" s="1" t="s">
        <v>118</v>
      </c>
      <c r="J6" s="14" t="s">
        <v>410</v>
      </c>
      <c r="K6" s="1" t="s">
        <v>118</v>
      </c>
      <c r="L6" s="1"/>
    </row>
    <row r="7" spans="1:13" ht="28.8" x14ac:dyDescent="0.3">
      <c r="A7" s="1">
        <v>3</v>
      </c>
      <c r="B7" s="1" t="s">
        <v>128</v>
      </c>
      <c r="C7" s="3" t="s">
        <v>129</v>
      </c>
      <c r="D7" s="4">
        <v>45037</v>
      </c>
      <c r="E7" s="6">
        <v>0.89583333333333337</v>
      </c>
      <c r="F7" s="1" t="s">
        <v>130</v>
      </c>
      <c r="G7" s="7" t="s">
        <v>119</v>
      </c>
      <c r="H7" s="3">
        <v>1</v>
      </c>
      <c r="I7" s="1" t="s">
        <v>36</v>
      </c>
      <c r="J7" s="14" t="s">
        <v>410</v>
      </c>
      <c r="K7" s="1" t="s">
        <v>20</v>
      </c>
      <c r="L7" s="1"/>
    </row>
    <row r="8" spans="1:13" ht="28.8" x14ac:dyDescent="0.3">
      <c r="A8" s="1">
        <v>3</v>
      </c>
      <c r="B8" s="1" t="s">
        <v>128</v>
      </c>
      <c r="C8" s="3" t="s">
        <v>129</v>
      </c>
      <c r="D8" s="4">
        <v>45037</v>
      </c>
      <c r="E8" s="6">
        <v>0.89583333333333337</v>
      </c>
      <c r="F8" s="1" t="s">
        <v>21</v>
      </c>
      <c r="G8" s="7" t="s">
        <v>22</v>
      </c>
      <c r="H8" s="3">
        <v>1</v>
      </c>
      <c r="I8" s="1" t="s">
        <v>36</v>
      </c>
      <c r="J8" s="14" t="s">
        <v>410</v>
      </c>
      <c r="K8" s="1" t="s">
        <v>20</v>
      </c>
      <c r="L8" s="1"/>
    </row>
    <row r="9" spans="1:13" ht="28.8" x14ac:dyDescent="0.3">
      <c r="A9" s="1">
        <v>4</v>
      </c>
      <c r="B9" s="1" t="s">
        <v>131</v>
      </c>
      <c r="C9" s="3" t="s">
        <v>132</v>
      </c>
      <c r="D9" s="4">
        <v>45038</v>
      </c>
      <c r="E9" s="6">
        <v>0.4375</v>
      </c>
      <c r="F9" s="1" t="s">
        <v>21</v>
      </c>
      <c r="G9" s="7" t="s">
        <v>22</v>
      </c>
      <c r="H9" s="3">
        <v>8</v>
      </c>
      <c r="I9" s="1" t="s">
        <v>36</v>
      </c>
      <c r="J9" s="14" t="s">
        <v>410</v>
      </c>
      <c r="K9" s="1" t="s">
        <v>20</v>
      </c>
      <c r="L9" s="1"/>
    </row>
    <row r="10" spans="1:13" ht="28.8" x14ac:dyDescent="0.3">
      <c r="A10" s="1">
        <v>4</v>
      </c>
      <c r="B10" s="1" t="s">
        <v>131</v>
      </c>
      <c r="C10" s="3" t="s">
        <v>132</v>
      </c>
      <c r="D10" s="4">
        <v>45038</v>
      </c>
      <c r="E10" s="6">
        <v>0.4375</v>
      </c>
      <c r="F10" s="1" t="s">
        <v>133</v>
      </c>
      <c r="G10" s="7" t="s">
        <v>120</v>
      </c>
      <c r="H10" s="3">
        <v>3</v>
      </c>
      <c r="I10" s="1" t="s">
        <v>36</v>
      </c>
      <c r="J10" s="14" t="s">
        <v>410</v>
      </c>
      <c r="K10" s="1" t="s">
        <v>20</v>
      </c>
      <c r="L10" s="1"/>
    </row>
    <row r="11" spans="1:13" ht="28.8" x14ac:dyDescent="0.3">
      <c r="A11" s="1">
        <v>4</v>
      </c>
      <c r="B11" s="1" t="s">
        <v>131</v>
      </c>
      <c r="C11" s="3" t="s">
        <v>132</v>
      </c>
      <c r="D11" s="4">
        <v>45038</v>
      </c>
      <c r="E11" s="6">
        <v>0.4375</v>
      </c>
      <c r="F11" s="1" t="s">
        <v>62</v>
      </c>
      <c r="G11" s="7" t="s">
        <v>63</v>
      </c>
      <c r="H11" s="3">
        <v>7</v>
      </c>
      <c r="I11" s="1" t="s">
        <v>36</v>
      </c>
      <c r="J11" s="14" t="s">
        <v>410</v>
      </c>
      <c r="K11" s="1" t="s">
        <v>20</v>
      </c>
      <c r="L11" s="1" t="s">
        <v>319</v>
      </c>
    </row>
    <row r="12" spans="1:13" ht="28.8" x14ac:dyDescent="0.3">
      <c r="A12" s="1">
        <v>4</v>
      </c>
      <c r="B12" s="1" t="s">
        <v>131</v>
      </c>
      <c r="C12" s="3" t="s">
        <v>132</v>
      </c>
      <c r="D12" s="4">
        <v>45038</v>
      </c>
      <c r="E12" s="6">
        <v>0.4375</v>
      </c>
      <c r="F12" s="1" t="s">
        <v>64</v>
      </c>
      <c r="G12" s="7" t="s">
        <v>65</v>
      </c>
      <c r="H12" s="3">
        <v>1</v>
      </c>
      <c r="I12" s="1" t="s">
        <v>36</v>
      </c>
      <c r="J12" s="14" t="s">
        <v>410</v>
      </c>
      <c r="K12" s="1" t="s">
        <v>20</v>
      </c>
      <c r="L12" s="1" t="s">
        <v>318</v>
      </c>
    </row>
    <row r="13" spans="1:13" ht="28.8" x14ac:dyDescent="0.3">
      <c r="A13" s="1">
        <v>4</v>
      </c>
      <c r="B13" s="1" t="s">
        <v>131</v>
      </c>
      <c r="C13" s="3" t="s">
        <v>132</v>
      </c>
      <c r="D13" s="4">
        <v>45038</v>
      </c>
      <c r="E13" s="6">
        <v>0.4375</v>
      </c>
      <c r="F13" s="1" t="s">
        <v>46</v>
      </c>
      <c r="G13" s="7" t="s">
        <v>47</v>
      </c>
      <c r="H13" s="3">
        <v>1</v>
      </c>
      <c r="I13" s="1" t="s">
        <v>36</v>
      </c>
      <c r="J13" s="14" t="s">
        <v>410</v>
      </c>
      <c r="K13" s="1" t="s">
        <v>20</v>
      </c>
      <c r="L13" s="1"/>
    </row>
    <row r="14" spans="1:13" ht="28.8" x14ac:dyDescent="0.3">
      <c r="A14" s="1">
        <v>4</v>
      </c>
      <c r="B14" s="1" t="s">
        <v>131</v>
      </c>
      <c r="C14" s="3" t="s">
        <v>132</v>
      </c>
      <c r="D14" s="4">
        <v>45038</v>
      </c>
      <c r="E14" s="6">
        <v>0.4375</v>
      </c>
      <c r="F14" s="1" t="s">
        <v>134</v>
      </c>
      <c r="G14" s="7" t="s">
        <v>121</v>
      </c>
      <c r="H14" s="3">
        <v>2</v>
      </c>
      <c r="I14" s="1" t="s">
        <v>36</v>
      </c>
      <c r="J14" s="14" t="s">
        <v>410</v>
      </c>
      <c r="K14" s="1" t="s">
        <v>135</v>
      </c>
      <c r="L14" s="1"/>
    </row>
    <row r="15" spans="1:13" ht="28.8" x14ac:dyDescent="0.3">
      <c r="A15" s="1">
        <v>4</v>
      </c>
      <c r="B15" s="1" t="s">
        <v>131</v>
      </c>
      <c r="C15" s="3" t="s">
        <v>132</v>
      </c>
      <c r="D15" s="4">
        <v>45038</v>
      </c>
      <c r="E15" s="6">
        <v>0.4375</v>
      </c>
      <c r="F15" s="1" t="s">
        <v>40</v>
      </c>
      <c r="G15" s="7" t="s">
        <v>122</v>
      </c>
      <c r="H15" s="3">
        <v>1</v>
      </c>
      <c r="I15" s="1" t="s">
        <v>36</v>
      </c>
      <c r="J15" s="14" t="s">
        <v>410</v>
      </c>
      <c r="K15" s="1" t="s">
        <v>20</v>
      </c>
      <c r="L15" s="1"/>
    </row>
    <row r="16" spans="1:13" ht="28.8" x14ac:dyDescent="0.3">
      <c r="A16" s="1">
        <v>5</v>
      </c>
      <c r="B16" s="1" t="s">
        <v>136</v>
      </c>
      <c r="C16" s="1" t="s">
        <v>137</v>
      </c>
      <c r="D16" s="4">
        <v>45038</v>
      </c>
      <c r="E16" s="6">
        <v>0.8125</v>
      </c>
      <c r="F16" s="1" t="s">
        <v>40</v>
      </c>
      <c r="G16" s="7" t="s">
        <v>122</v>
      </c>
      <c r="H16" s="3">
        <v>2</v>
      </c>
      <c r="I16" s="1" t="s">
        <v>36</v>
      </c>
      <c r="J16" s="14" t="s">
        <v>410</v>
      </c>
      <c r="K16" s="1" t="s">
        <v>20</v>
      </c>
      <c r="L16" s="1"/>
    </row>
    <row r="17" spans="1:12" ht="28.8" x14ac:dyDescent="0.3">
      <c r="A17" s="1">
        <v>5</v>
      </c>
      <c r="B17" s="1" t="s">
        <v>136</v>
      </c>
      <c r="C17" s="1" t="s">
        <v>137</v>
      </c>
      <c r="D17" s="4">
        <v>45038</v>
      </c>
      <c r="E17" s="6">
        <v>0.8125</v>
      </c>
      <c r="F17" s="1" t="s">
        <v>37</v>
      </c>
      <c r="G17" s="7" t="s">
        <v>38</v>
      </c>
      <c r="H17" s="3">
        <v>2</v>
      </c>
      <c r="I17" s="1" t="s">
        <v>36</v>
      </c>
      <c r="J17" s="14" t="s">
        <v>410</v>
      </c>
      <c r="K17" s="1" t="s">
        <v>20</v>
      </c>
      <c r="L17" s="1" t="s">
        <v>320</v>
      </c>
    </row>
    <row r="18" spans="1:12" ht="28.8" x14ac:dyDescent="0.3">
      <c r="A18" s="1">
        <v>6</v>
      </c>
      <c r="B18" s="1" t="s">
        <v>131</v>
      </c>
      <c r="C18" s="1" t="s">
        <v>132</v>
      </c>
      <c r="D18" s="4">
        <v>45038</v>
      </c>
      <c r="E18" s="6">
        <v>0.86111111111111116</v>
      </c>
      <c r="F18" s="1" t="s">
        <v>133</v>
      </c>
      <c r="G18" s="7" t="s">
        <v>120</v>
      </c>
      <c r="H18" s="3">
        <v>2</v>
      </c>
      <c r="I18" s="1" t="s">
        <v>36</v>
      </c>
      <c r="J18" s="14" t="s">
        <v>410</v>
      </c>
      <c r="K18" s="1" t="s">
        <v>20</v>
      </c>
      <c r="L18" s="1" t="s">
        <v>321</v>
      </c>
    </row>
    <row r="19" spans="1:12" ht="28.8" x14ac:dyDescent="0.3">
      <c r="A19" s="1">
        <v>6</v>
      </c>
      <c r="B19" s="1" t="s">
        <v>131</v>
      </c>
      <c r="C19" s="1" t="s">
        <v>132</v>
      </c>
      <c r="D19" s="4">
        <v>45038</v>
      </c>
      <c r="E19" s="6">
        <v>0.86111111111111116</v>
      </c>
      <c r="F19" s="1" t="s">
        <v>21</v>
      </c>
      <c r="G19" s="7" t="s">
        <v>22</v>
      </c>
      <c r="H19" s="3">
        <v>4</v>
      </c>
      <c r="I19" s="1" t="s">
        <v>36</v>
      </c>
      <c r="J19" s="14" t="s">
        <v>410</v>
      </c>
      <c r="K19" s="1" t="s">
        <v>20</v>
      </c>
      <c r="L19" s="1"/>
    </row>
    <row r="20" spans="1:12" ht="28.8" x14ac:dyDescent="0.3">
      <c r="A20" s="1">
        <v>6</v>
      </c>
      <c r="B20" s="1" t="s">
        <v>131</v>
      </c>
      <c r="C20" s="1" t="s">
        <v>132</v>
      </c>
      <c r="D20" s="4">
        <v>45038</v>
      </c>
      <c r="E20" s="6">
        <v>0.86111111111111116</v>
      </c>
      <c r="F20" s="1" t="s">
        <v>28</v>
      </c>
      <c r="G20" s="7" t="s">
        <v>29</v>
      </c>
      <c r="H20" s="3">
        <v>1</v>
      </c>
      <c r="I20" s="1" t="s">
        <v>36</v>
      </c>
      <c r="J20" s="14" t="s">
        <v>410</v>
      </c>
      <c r="K20" s="1" t="s">
        <v>20</v>
      </c>
      <c r="L20" s="1"/>
    </row>
    <row r="21" spans="1:12" ht="28.8" x14ac:dyDescent="0.3">
      <c r="A21" s="1">
        <v>6</v>
      </c>
      <c r="B21" s="1" t="s">
        <v>131</v>
      </c>
      <c r="C21" s="1" t="s">
        <v>132</v>
      </c>
      <c r="D21" s="4">
        <v>45038</v>
      </c>
      <c r="E21" s="6">
        <v>0.86111111111111116</v>
      </c>
      <c r="F21" s="1" t="s">
        <v>138</v>
      </c>
      <c r="G21" s="7" t="s">
        <v>123</v>
      </c>
      <c r="H21" s="3">
        <v>2</v>
      </c>
      <c r="I21" s="1" t="s">
        <v>48</v>
      </c>
      <c r="J21" s="14" t="s">
        <v>410</v>
      </c>
      <c r="K21" s="1" t="s">
        <v>139</v>
      </c>
      <c r="L21" s="1"/>
    </row>
    <row r="22" spans="1:12" ht="28.8" x14ac:dyDescent="0.3">
      <c r="A22" s="1">
        <v>6</v>
      </c>
      <c r="B22" s="1" t="s">
        <v>131</v>
      </c>
      <c r="C22" s="1" t="s">
        <v>132</v>
      </c>
      <c r="D22" s="4">
        <v>45038</v>
      </c>
      <c r="E22" s="6">
        <v>0.86111111111111116</v>
      </c>
      <c r="F22" s="1" t="s">
        <v>90</v>
      </c>
      <c r="G22" s="7" t="s">
        <v>60</v>
      </c>
      <c r="H22" s="3">
        <v>20</v>
      </c>
      <c r="I22" s="1" t="s">
        <v>48</v>
      </c>
      <c r="J22" s="14" t="s">
        <v>410</v>
      </c>
      <c r="K22" s="1" t="s">
        <v>20</v>
      </c>
      <c r="L22" s="1"/>
    </row>
    <row r="23" spans="1:12" ht="28.8" x14ac:dyDescent="0.3">
      <c r="A23" s="1">
        <v>6</v>
      </c>
      <c r="B23" s="1" t="s">
        <v>131</v>
      </c>
      <c r="C23" s="1" t="s">
        <v>132</v>
      </c>
      <c r="D23" s="4">
        <v>45038</v>
      </c>
      <c r="E23" s="6">
        <v>0.86111111111111116</v>
      </c>
      <c r="F23" s="1" t="s">
        <v>55</v>
      </c>
      <c r="G23" s="7" t="s">
        <v>56</v>
      </c>
      <c r="H23" s="3">
        <v>5</v>
      </c>
      <c r="I23" s="1" t="s">
        <v>48</v>
      </c>
      <c r="J23" s="14" t="s">
        <v>410</v>
      </c>
      <c r="K23" s="1" t="s">
        <v>20</v>
      </c>
      <c r="L23" s="1"/>
    </row>
    <row r="24" spans="1:12" ht="28.8" x14ac:dyDescent="0.3">
      <c r="A24" s="1">
        <v>6</v>
      </c>
      <c r="B24" s="1" t="s">
        <v>131</v>
      </c>
      <c r="C24" s="1" t="s">
        <v>132</v>
      </c>
      <c r="D24" s="4">
        <v>45038</v>
      </c>
      <c r="E24" s="6">
        <v>0.86111111111111116</v>
      </c>
      <c r="F24" s="1" t="s">
        <v>53</v>
      </c>
      <c r="G24" s="7" t="s">
        <v>54</v>
      </c>
      <c r="H24" s="3">
        <v>1</v>
      </c>
      <c r="I24" s="1" t="s">
        <v>48</v>
      </c>
      <c r="J24" s="14" t="s">
        <v>410</v>
      </c>
      <c r="K24" s="1" t="s">
        <v>20</v>
      </c>
      <c r="L24" s="1"/>
    </row>
    <row r="25" spans="1:12" ht="28.8" x14ac:dyDescent="0.3">
      <c r="A25" s="1">
        <v>7</v>
      </c>
      <c r="B25" s="1" t="s">
        <v>141</v>
      </c>
      <c r="C25" s="1" t="s">
        <v>142</v>
      </c>
      <c r="D25" s="4">
        <v>45038</v>
      </c>
      <c r="E25" s="6">
        <v>0.90277777777777779</v>
      </c>
      <c r="F25" s="1" t="s">
        <v>140</v>
      </c>
      <c r="G25" s="7" t="s">
        <v>124</v>
      </c>
      <c r="H25" s="3">
        <v>1</v>
      </c>
      <c r="I25" s="1" t="s">
        <v>36</v>
      </c>
      <c r="J25" s="14" t="s">
        <v>410</v>
      </c>
      <c r="K25" s="1" t="s">
        <v>20</v>
      </c>
      <c r="L25" s="1" t="s">
        <v>322</v>
      </c>
    </row>
    <row r="26" spans="1:12" ht="28.8" x14ac:dyDescent="0.3">
      <c r="A26" s="1">
        <v>7</v>
      </c>
      <c r="B26" s="1" t="s">
        <v>141</v>
      </c>
      <c r="C26" s="1" t="s">
        <v>142</v>
      </c>
      <c r="D26" s="4">
        <v>45038</v>
      </c>
      <c r="E26" s="6">
        <v>0.90277777777777779</v>
      </c>
      <c r="F26" s="1" t="s">
        <v>21</v>
      </c>
      <c r="G26" s="7" t="s">
        <v>22</v>
      </c>
      <c r="H26" s="3">
        <v>1</v>
      </c>
      <c r="I26" s="1" t="s">
        <v>36</v>
      </c>
      <c r="J26" s="14" t="s">
        <v>410</v>
      </c>
      <c r="K26" s="1" t="s">
        <v>20</v>
      </c>
      <c r="L26" s="1"/>
    </row>
    <row r="27" spans="1:12" ht="28.8" x14ac:dyDescent="0.3">
      <c r="A27" s="1">
        <v>7</v>
      </c>
      <c r="B27" s="1" t="s">
        <v>141</v>
      </c>
      <c r="C27" s="1" t="s">
        <v>142</v>
      </c>
      <c r="D27" s="4">
        <v>45038</v>
      </c>
      <c r="E27" s="6">
        <v>0.90277777777777779</v>
      </c>
      <c r="F27" s="1" t="s">
        <v>51</v>
      </c>
      <c r="G27" s="7" t="s">
        <v>52</v>
      </c>
      <c r="H27" s="3">
        <v>1</v>
      </c>
      <c r="I27" s="1" t="s">
        <v>36</v>
      </c>
      <c r="J27" s="14" t="s">
        <v>410</v>
      </c>
      <c r="K27" s="1" t="s">
        <v>20</v>
      </c>
      <c r="L27" s="1" t="s">
        <v>323</v>
      </c>
    </row>
    <row r="28" spans="1:12" ht="28.8" x14ac:dyDescent="0.3">
      <c r="A28" s="1">
        <v>8</v>
      </c>
      <c r="B28" s="1" t="s">
        <v>143</v>
      </c>
      <c r="C28" s="1" t="s">
        <v>144</v>
      </c>
      <c r="D28" s="4">
        <v>45039</v>
      </c>
      <c r="E28" s="6">
        <v>0.39583333333333331</v>
      </c>
      <c r="F28" s="1" t="s">
        <v>17</v>
      </c>
      <c r="G28" s="7" t="s">
        <v>18</v>
      </c>
      <c r="H28" s="3">
        <v>1</v>
      </c>
      <c r="I28" s="1" t="s">
        <v>36</v>
      </c>
      <c r="J28" s="14" t="s">
        <v>410</v>
      </c>
      <c r="K28" s="1" t="s">
        <v>20</v>
      </c>
      <c r="L28" s="1" t="s">
        <v>324</v>
      </c>
    </row>
    <row r="29" spans="1:12" ht="28.8" x14ac:dyDescent="0.3">
      <c r="A29" s="1">
        <v>8</v>
      </c>
      <c r="B29" s="1" t="s">
        <v>143</v>
      </c>
      <c r="C29" s="1" t="s">
        <v>144</v>
      </c>
      <c r="D29" s="4">
        <v>45039</v>
      </c>
      <c r="E29" s="6">
        <v>0.39583333333333331</v>
      </c>
      <c r="F29" s="1" t="s">
        <v>40</v>
      </c>
      <c r="G29" s="7" t="s">
        <v>122</v>
      </c>
      <c r="H29" s="3">
        <v>1</v>
      </c>
      <c r="I29" s="1" t="s">
        <v>36</v>
      </c>
      <c r="J29" s="14" t="s">
        <v>410</v>
      </c>
      <c r="K29" s="1" t="s">
        <v>20</v>
      </c>
      <c r="L29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AF4B-525A-4DED-8578-218BBEFE5634}">
  <dimension ref="A1:M52"/>
  <sheetViews>
    <sheetView topLeftCell="A33" zoomScale="76" zoomScaleNormal="98" workbookViewId="0">
      <selection activeCell="G5" sqref="G5:G52"/>
    </sheetView>
  </sheetViews>
  <sheetFormatPr defaultColWidth="11.44140625" defaultRowHeight="15.6" x14ac:dyDescent="0.3"/>
  <cols>
    <col min="1" max="1" width="15.88671875" style="1" bestFit="1" customWidth="1"/>
    <col min="2" max="3" width="22.44140625" style="1" bestFit="1" customWidth="1"/>
    <col min="4" max="4" width="20.33203125" style="3" bestFit="1" customWidth="1"/>
    <col min="5" max="5" width="7.77734375" style="3" customWidth="1"/>
    <col min="6" max="6" width="34.33203125" style="1" bestFit="1" customWidth="1"/>
    <col min="7" max="7" width="28.88671875" style="1" bestFit="1" customWidth="1"/>
    <col min="8" max="8" width="4.21875" style="1" customWidth="1"/>
    <col min="9" max="9" width="44.33203125" style="1" customWidth="1"/>
    <col min="10" max="10" width="25.88671875" style="1" customWidth="1"/>
    <col min="11" max="11" width="32.21875" style="1" customWidth="1"/>
    <col min="12" max="12" width="11.21875" style="1" customWidth="1"/>
    <col min="13" max="13" width="34.21875" style="1" customWidth="1"/>
    <col min="14" max="16384" width="11.44140625" style="1"/>
  </cols>
  <sheetData>
    <row r="1" spans="1:13" x14ac:dyDescent="0.3">
      <c r="A1" s="9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3" x14ac:dyDescent="0.3">
      <c r="A2" s="1" t="s">
        <v>13</v>
      </c>
      <c r="B2" s="3" t="s">
        <v>145</v>
      </c>
      <c r="C2" s="3"/>
      <c r="D2" s="3" t="s">
        <v>16</v>
      </c>
      <c r="H2" s="3"/>
    </row>
    <row r="3" spans="1:13" x14ac:dyDescent="0.3">
      <c r="B3" s="3"/>
      <c r="C3" s="3"/>
      <c r="H3" s="3"/>
    </row>
    <row r="4" spans="1:13" x14ac:dyDescent="0.3">
      <c r="A4" s="9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8" t="s">
        <v>407</v>
      </c>
      <c r="K4" s="8" t="s">
        <v>10</v>
      </c>
      <c r="L4" s="8" t="s">
        <v>11</v>
      </c>
      <c r="M4" s="8" t="s">
        <v>12</v>
      </c>
    </row>
    <row r="5" spans="1:13" ht="28.8" x14ac:dyDescent="0.3">
      <c r="A5" s="1">
        <v>1</v>
      </c>
      <c r="B5" s="3" t="s">
        <v>158</v>
      </c>
      <c r="C5" s="3" t="s">
        <v>159</v>
      </c>
      <c r="D5" s="4">
        <v>45040</v>
      </c>
      <c r="E5" s="5">
        <v>0.52777777777777779</v>
      </c>
      <c r="F5" s="1" t="s">
        <v>89</v>
      </c>
      <c r="G5" s="7" t="s">
        <v>83</v>
      </c>
      <c r="H5" s="1">
        <v>1</v>
      </c>
      <c r="I5" s="1" t="s">
        <v>176</v>
      </c>
      <c r="J5" s="14" t="s">
        <v>410</v>
      </c>
      <c r="K5" s="1" t="s">
        <v>20</v>
      </c>
    </row>
    <row r="6" spans="1:13" ht="28.8" x14ac:dyDescent="0.3">
      <c r="A6" s="1">
        <v>1</v>
      </c>
      <c r="B6" s="3" t="s">
        <v>158</v>
      </c>
      <c r="C6" s="3" t="s">
        <v>159</v>
      </c>
      <c r="D6" s="4">
        <v>45040</v>
      </c>
      <c r="E6" s="5">
        <v>0.52777777777777779</v>
      </c>
      <c r="F6" s="1" t="s">
        <v>153</v>
      </c>
      <c r="G6" s="7" t="s">
        <v>146</v>
      </c>
      <c r="H6" s="1">
        <v>1</v>
      </c>
      <c r="I6" s="1" t="s">
        <v>176</v>
      </c>
      <c r="J6" s="14" t="s">
        <v>410</v>
      </c>
      <c r="K6" s="1" t="s">
        <v>20</v>
      </c>
    </row>
    <row r="7" spans="1:13" ht="28.8" x14ac:dyDescent="0.3">
      <c r="A7" s="1">
        <v>1</v>
      </c>
      <c r="B7" s="3" t="s">
        <v>158</v>
      </c>
      <c r="C7" s="3" t="s">
        <v>159</v>
      </c>
      <c r="D7" s="4">
        <v>45040</v>
      </c>
      <c r="E7" s="5">
        <v>0.52777777777777779</v>
      </c>
      <c r="F7" s="1" t="s">
        <v>17</v>
      </c>
      <c r="G7" s="7" t="s">
        <v>147</v>
      </c>
      <c r="H7" s="1">
        <v>1</v>
      </c>
      <c r="I7" s="1" t="s">
        <v>36</v>
      </c>
      <c r="J7" s="14" t="s">
        <v>410</v>
      </c>
      <c r="K7" s="1" t="s">
        <v>20</v>
      </c>
    </row>
    <row r="8" spans="1:13" ht="28.8" x14ac:dyDescent="0.3">
      <c r="A8" s="1">
        <v>2</v>
      </c>
      <c r="B8" s="1" t="s">
        <v>160</v>
      </c>
      <c r="C8" s="1" t="s">
        <v>161</v>
      </c>
      <c r="D8" s="4">
        <v>45040</v>
      </c>
      <c r="E8" s="5">
        <v>0.5625</v>
      </c>
      <c r="F8" s="1" t="s">
        <v>62</v>
      </c>
      <c r="G8" s="7" t="s">
        <v>63</v>
      </c>
      <c r="H8" s="1">
        <v>2</v>
      </c>
      <c r="I8" s="1" t="s">
        <v>36</v>
      </c>
      <c r="J8" s="14" t="s">
        <v>410</v>
      </c>
      <c r="K8" s="1" t="s">
        <v>20</v>
      </c>
    </row>
    <row r="9" spans="1:13" ht="28.8" x14ac:dyDescent="0.3">
      <c r="A9" s="1">
        <v>3</v>
      </c>
      <c r="B9" s="1" t="s">
        <v>161</v>
      </c>
      <c r="C9" s="1" t="s">
        <v>162</v>
      </c>
      <c r="D9" s="4">
        <v>45040</v>
      </c>
      <c r="E9" s="5">
        <v>0.60416666666666663</v>
      </c>
      <c r="F9" s="1" t="s">
        <v>62</v>
      </c>
      <c r="G9" s="7" t="s">
        <v>63</v>
      </c>
      <c r="H9" s="1">
        <v>2</v>
      </c>
      <c r="I9" s="1" t="s">
        <v>36</v>
      </c>
      <c r="J9" s="14" t="s">
        <v>410</v>
      </c>
      <c r="K9" s="1" t="s">
        <v>20</v>
      </c>
    </row>
    <row r="10" spans="1:13" ht="28.8" x14ac:dyDescent="0.3">
      <c r="A10" s="1">
        <v>3</v>
      </c>
      <c r="B10" s="1" t="s">
        <v>161</v>
      </c>
      <c r="C10" s="1" t="s">
        <v>162</v>
      </c>
      <c r="D10" s="4">
        <v>45040</v>
      </c>
      <c r="E10" s="5">
        <v>0.60416666666666663</v>
      </c>
      <c r="F10" s="1" t="s">
        <v>40</v>
      </c>
      <c r="G10" s="7" t="s">
        <v>41</v>
      </c>
      <c r="H10" s="1">
        <v>1</v>
      </c>
      <c r="I10" s="1" t="s">
        <v>36</v>
      </c>
      <c r="J10" s="14" t="s">
        <v>410</v>
      </c>
      <c r="K10" s="1" t="s">
        <v>20</v>
      </c>
      <c r="L10" s="1" t="s">
        <v>285</v>
      </c>
    </row>
    <row r="11" spans="1:13" ht="28.8" x14ac:dyDescent="0.3">
      <c r="A11" s="1">
        <v>3</v>
      </c>
      <c r="B11" s="1" t="s">
        <v>161</v>
      </c>
      <c r="C11" s="1" t="s">
        <v>162</v>
      </c>
      <c r="D11" s="4">
        <v>45040</v>
      </c>
      <c r="E11" s="5">
        <v>0.60416666666666663</v>
      </c>
      <c r="F11" s="1" t="s">
        <v>105</v>
      </c>
      <c r="G11" s="7" t="s">
        <v>148</v>
      </c>
      <c r="H11" s="1">
        <v>1</v>
      </c>
      <c r="I11" s="1" t="s">
        <v>36</v>
      </c>
      <c r="J11" s="14" t="s">
        <v>410</v>
      </c>
      <c r="K11" s="1" t="s">
        <v>20</v>
      </c>
    </row>
    <row r="12" spans="1:13" ht="28.8" x14ac:dyDescent="0.3">
      <c r="A12" s="1">
        <v>4</v>
      </c>
      <c r="B12" s="1" t="s">
        <v>163</v>
      </c>
      <c r="C12" s="1" t="s">
        <v>164</v>
      </c>
      <c r="D12" s="4">
        <v>45040</v>
      </c>
      <c r="E12" s="5">
        <v>0.8125</v>
      </c>
      <c r="F12" s="1" t="s">
        <v>130</v>
      </c>
      <c r="G12" s="7" t="s">
        <v>119</v>
      </c>
      <c r="H12" s="1">
        <v>1</v>
      </c>
      <c r="I12" s="1" t="s">
        <v>36</v>
      </c>
      <c r="J12" s="14" t="s">
        <v>410</v>
      </c>
      <c r="K12" s="1" t="s">
        <v>20</v>
      </c>
      <c r="L12" s="1" t="s">
        <v>286</v>
      </c>
    </row>
    <row r="13" spans="1:13" ht="28.8" x14ac:dyDescent="0.3">
      <c r="A13" s="1">
        <v>4</v>
      </c>
      <c r="B13" s="1" t="s">
        <v>163</v>
      </c>
      <c r="C13" s="1" t="s">
        <v>164</v>
      </c>
      <c r="D13" s="4">
        <v>45040</v>
      </c>
      <c r="E13" s="5">
        <v>0.8125</v>
      </c>
      <c r="F13" s="1" t="s">
        <v>77</v>
      </c>
      <c r="G13" s="7" t="s">
        <v>74</v>
      </c>
      <c r="H13" s="1">
        <v>2</v>
      </c>
      <c r="I13" s="1" t="s">
        <v>36</v>
      </c>
      <c r="J13" s="14" t="s">
        <v>410</v>
      </c>
      <c r="K13" s="1" t="s">
        <v>20</v>
      </c>
    </row>
    <row r="14" spans="1:13" ht="28.8" x14ac:dyDescent="0.3">
      <c r="A14" s="1">
        <v>4</v>
      </c>
      <c r="B14" s="1" t="s">
        <v>163</v>
      </c>
      <c r="C14" s="1" t="s">
        <v>164</v>
      </c>
      <c r="D14" s="4">
        <v>45040</v>
      </c>
      <c r="E14" s="5">
        <v>0.8125</v>
      </c>
      <c r="F14" s="1" t="s">
        <v>75</v>
      </c>
      <c r="G14" s="7" t="s">
        <v>149</v>
      </c>
      <c r="H14" s="1">
        <v>1</v>
      </c>
      <c r="I14" s="1" t="s">
        <v>36</v>
      </c>
      <c r="J14" s="14" t="s">
        <v>410</v>
      </c>
      <c r="K14" s="1" t="s">
        <v>20</v>
      </c>
    </row>
    <row r="15" spans="1:13" ht="28.8" x14ac:dyDescent="0.3">
      <c r="A15" s="1">
        <v>4</v>
      </c>
      <c r="B15" s="1" t="s">
        <v>163</v>
      </c>
      <c r="C15" s="1" t="s">
        <v>164</v>
      </c>
      <c r="D15" s="4">
        <v>45040</v>
      </c>
      <c r="E15" s="5">
        <v>0.8125</v>
      </c>
      <c r="F15" s="1" t="s">
        <v>21</v>
      </c>
      <c r="G15" s="7" t="s">
        <v>22</v>
      </c>
      <c r="H15" s="1">
        <v>1</v>
      </c>
      <c r="I15" s="1" t="s">
        <v>36</v>
      </c>
      <c r="J15" s="14" t="s">
        <v>410</v>
      </c>
      <c r="K15" s="1" t="s">
        <v>20</v>
      </c>
    </row>
    <row r="16" spans="1:13" ht="28.8" x14ac:dyDescent="0.3">
      <c r="A16" s="1">
        <v>4</v>
      </c>
      <c r="B16" s="1" t="s">
        <v>163</v>
      </c>
      <c r="C16" s="1" t="s">
        <v>164</v>
      </c>
      <c r="D16" s="4">
        <v>45040</v>
      </c>
      <c r="E16" s="5">
        <v>0.8125</v>
      </c>
      <c r="F16" s="1" t="s">
        <v>105</v>
      </c>
      <c r="G16" s="7" t="s">
        <v>100</v>
      </c>
      <c r="H16" s="1">
        <v>1</v>
      </c>
      <c r="I16" s="1" t="s">
        <v>36</v>
      </c>
      <c r="J16" s="14" t="s">
        <v>410</v>
      </c>
      <c r="K16" s="1" t="s">
        <v>20</v>
      </c>
    </row>
    <row r="17" spans="1:12" ht="28.8" x14ac:dyDescent="0.3">
      <c r="A17" s="1">
        <v>4</v>
      </c>
      <c r="B17" s="1" t="s">
        <v>163</v>
      </c>
      <c r="C17" s="1" t="s">
        <v>164</v>
      </c>
      <c r="D17" s="4">
        <v>45040</v>
      </c>
      <c r="E17" s="5">
        <v>0.8125</v>
      </c>
      <c r="F17" s="1" t="s">
        <v>154</v>
      </c>
      <c r="G17" s="7" t="s">
        <v>150</v>
      </c>
      <c r="H17" s="1">
        <v>1</v>
      </c>
      <c r="I17" s="1" t="s">
        <v>36</v>
      </c>
      <c r="J17" s="14" t="s">
        <v>410</v>
      </c>
      <c r="K17" s="1" t="s">
        <v>20</v>
      </c>
      <c r="L17" s="1" t="s">
        <v>287</v>
      </c>
    </row>
    <row r="18" spans="1:12" ht="28.8" x14ac:dyDescent="0.3">
      <c r="A18" s="1">
        <v>5</v>
      </c>
      <c r="B18" s="1" t="s">
        <v>158</v>
      </c>
      <c r="C18" s="1" t="s">
        <v>159</v>
      </c>
      <c r="D18" s="4">
        <v>45040</v>
      </c>
      <c r="E18" s="5">
        <v>0.9375</v>
      </c>
      <c r="F18" s="1" t="s">
        <v>62</v>
      </c>
      <c r="G18" s="7" t="s">
        <v>63</v>
      </c>
      <c r="H18" s="1">
        <v>1</v>
      </c>
      <c r="I18" s="1" t="s">
        <v>176</v>
      </c>
      <c r="J18" s="14" t="s">
        <v>410</v>
      </c>
      <c r="K18" s="1" t="s">
        <v>20</v>
      </c>
    </row>
    <row r="19" spans="1:12" ht="28.8" x14ac:dyDescent="0.3">
      <c r="A19" s="1">
        <v>5</v>
      </c>
      <c r="B19" s="1" t="s">
        <v>158</v>
      </c>
      <c r="C19" s="1" t="s">
        <v>159</v>
      </c>
      <c r="D19" s="4">
        <v>45040</v>
      </c>
      <c r="E19" s="5">
        <v>0.9375</v>
      </c>
      <c r="F19" s="1" t="s">
        <v>53</v>
      </c>
      <c r="G19" s="7" t="s">
        <v>54</v>
      </c>
      <c r="H19" s="1">
        <v>20</v>
      </c>
      <c r="I19" s="1" t="s">
        <v>176</v>
      </c>
      <c r="J19" s="14" t="s">
        <v>410</v>
      </c>
      <c r="K19" s="1" t="s">
        <v>20</v>
      </c>
    </row>
    <row r="20" spans="1:12" ht="28.8" x14ac:dyDescent="0.3">
      <c r="A20" s="1">
        <v>5</v>
      </c>
      <c r="B20" s="1" t="s">
        <v>158</v>
      </c>
      <c r="C20" s="1" t="s">
        <v>159</v>
      </c>
      <c r="D20" s="4">
        <v>45040</v>
      </c>
      <c r="E20" s="5">
        <v>0.9375</v>
      </c>
      <c r="F20" s="1" t="s">
        <v>55</v>
      </c>
      <c r="G20" s="7" t="s">
        <v>56</v>
      </c>
      <c r="H20" s="1">
        <v>3</v>
      </c>
      <c r="I20" s="1" t="s">
        <v>176</v>
      </c>
      <c r="J20" s="14" t="s">
        <v>410</v>
      </c>
      <c r="K20" s="1" t="s">
        <v>20</v>
      </c>
    </row>
    <row r="21" spans="1:12" ht="28.8" x14ac:dyDescent="0.3">
      <c r="A21" s="1">
        <v>5</v>
      </c>
      <c r="B21" s="1" t="s">
        <v>158</v>
      </c>
      <c r="C21" s="1" t="s">
        <v>159</v>
      </c>
      <c r="D21" s="4">
        <v>45040</v>
      </c>
      <c r="E21" s="5">
        <v>0.9375</v>
      </c>
      <c r="F21" s="1" t="s">
        <v>155</v>
      </c>
      <c r="G21" s="7" t="s">
        <v>151</v>
      </c>
      <c r="H21" s="1">
        <v>8</v>
      </c>
      <c r="I21" s="1" t="s">
        <v>36</v>
      </c>
      <c r="J21" s="14" t="s">
        <v>410</v>
      </c>
      <c r="K21" s="1" t="s">
        <v>20</v>
      </c>
    </row>
    <row r="22" spans="1:12" ht="28.8" x14ac:dyDescent="0.3">
      <c r="A22" s="1">
        <v>6</v>
      </c>
      <c r="B22" s="1" t="s">
        <v>165</v>
      </c>
      <c r="C22" s="1" t="s">
        <v>166</v>
      </c>
      <c r="D22" s="4">
        <v>45047</v>
      </c>
      <c r="E22" s="5">
        <v>0.80555555555555547</v>
      </c>
      <c r="F22" s="1" t="s">
        <v>77</v>
      </c>
      <c r="G22" s="7" t="s">
        <v>74</v>
      </c>
      <c r="H22" s="1">
        <v>1</v>
      </c>
      <c r="I22" s="1" t="s">
        <v>36</v>
      </c>
      <c r="J22" s="14" t="s">
        <v>410</v>
      </c>
      <c r="K22" s="1" t="s">
        <v>20</v>
      </c>
      <c r="L22" s="1" t="s">
        <v>290</v>
      </c>
    </row>
    <row r="23" spans="1:12" ht="28.8" x14ac:dyDescent="0.3">
      <c r="A23" s="1">
        <v>6</v>
      </c>
      <c r="B23" s="1" t="s">
        <v>165</v>
      </c>
      <c r="C23" s="1" t="s">
        <v>166</v>
      </c>
      <c r="D23" s="4">
        <v>45047</v>
      </c>
      <c r="E23" s="5">
        <v>0.80555555555555547</v>
      </c>
      <c r="F23" s="1" t="s">
        <v>155</v>
      </c>
      <c r="G23" s="7" t="s">
        <v>151</v>
      </c>
      <c r="H23" s="1">
        <v>2</v>
      </c>
      <c r="I23" s="1" t="s">
        <v>36</v>
      </c>
      <c r="J23" s="14" t="s">
        <v>410</v>
      </c>
      <c r="K23" s="1" t="s">
        <v>20</v>
      </c>
      <c r="L23" s="1" t="s">
        <v>288</v>
      </c>
    </row>
    <row r="24" spans="1:12" ht="28.8" x14ac:dyDescent="0.3">
      <c r="A24" s="1">
        <v>6</v>
      </c>
      <c r="B24" s="1" t="s">
        <v>165</v>
      </c>
      <c r="C24" s="1" t="s">
        <v>166</v>
      </c>
      <c r="D24" s="4">
        <v>45047</v>
      </c>
      <c r="E24" s="5">
        <v>0.80555555555555547</v>
      </c>
      <c r="F24" s="1" t="s">
        <v>156</v>
      </c>
      <c r="G24" s="7" t="s">
        <v>72</v>
      </c>
      <c r="H24" s="1">
        <v>2</v>
      </c>
      <c r="I24" s="1" t="s">
        <v>36</v>
      </c>
      <c r="J24" s="14" t="s">
        <v>410</v>
      </c>
      <c r="K24" s="1" t="s">
        <v>20</v>
      </c>
      <c r="L24" s="1" t="s">
        <v>291</v>
      </c>
    </row>
    <row r="25" spans="1:12" ht="28.8" x14ac:dyDescent="0.3">
      <c r="A25" s="1">
        <v>6</v>
      </c>
      <c r="B25" s="1" t="s">
        <v>165</v>
      </c>
      <c r="C25" s="1" t="s">
        <v>166</v>
      </c>
      <c r="D25" s="4">
        <v>45047</v>
      </c>
      <c r="E25" s="5">
        <v>0.80555555555555547</v>
      </c>
      <c r="F25" s="1" t="s">
        <v>157</v>
      </c>
      <c r="G25" s="7" t="s">
        <v>152</v>
      </c>
      <c r="H25" s="1">
        <v>1</v>
      </c>
      <c r="I25" s="1" t="s">
        <v>36</v>
      </c>
      <c r="J25" s="14" t="s">
        <v>410</v>
      </c>
      <c r="K25" s="1" t="s">
        <v>20</v>
      </c>
      <c r="L25" s="1" t="s">
        <v>289</v>
      </c>
    </row>
    <row r="26" spans="1:12" ht="28.8" x14ac:dyDescent="0.3">
      <c r="A26" s="1">
        <v>7</v>
      </c>
      <c r="B26" s="1" t="s">
        <v>165</v>
      </c>
      <c r="C26" s="1" t="s">
        <v>167</v>
      </c>
      <c r="D26" s="4">
        <v>45047</v>
      </c>
      <c r="E26" s="5">
        <v>0.85416666666666663</v>
      </c>
      <c r="F26" s="1" t="s">
        <v>53</v>
      </c>
      <c r="G26" s="7" t="s">
        <v>54</v>
      </c>
      <c r="H26" s="1">
        <v>20</v>
      </c>
      <c r="I26" s="1" t="s">
        <v>176</v>
      </c>
      <c r="J26" s="14" t="s">
        <v>410</v>
      </c>
      <c r="K26" s="1" t="s">
        <v>20</v>
      </c>
    </row>
    <row r="27" spans="1:12" ht="28.8" x14ac:dyDescent="0.3">
      <c r="A27" s="1">
        <v>7</v>
      </c>
      <c r="B27" s="1" t="s">
        <v>165</v>
      </c>
      <c r="C27" s="1" t="s">
        <v>167</v>
      </c>
      <c r="D27" s="4">
        <v>45047</v>
      </c>
      <c r="E27" s="5">
        <v>0.85416666666666663</v>
      </c>
      <c r="F27" s="1" t="s">
        <v>76</v>
      </c>
      <c r="G27" s="7" t="s">
        <v>73</v>
      </c>
      <c r="H27" s="1">
        <v>4</v>
      </c>
      <c r="I27" s="1" t="s">
        <v>176</v>
      </c>
      <c r="J27" s="14" t="s">
        <v>410</v>
      </c>
      <c r="K27" s="1" t="s">
        <v>20</v>
      </c>
    </row>
    <row r="28" spans="1:12" ht="28.8" x14ac:dyDescent="0.3">
      <c r="A28" s="1">
        <v>7</v>
      </c>
      <c r="B28" s="1" t="s">
        <v>165</v>
      </c>
      <c r="C28" s="1" t="s">
        <v>167</v>
      </c>
      <c r="D28" s="4">
        <v>45047</v>
      </c>
      <c r="E28" s="5">
        <v>0.85416666666666663</v>
      </c>
      <c r="F28" s="1" t="s">
        <v>55</v>
      </c>
      <c r="G28" s="7" t="s">
        <v>56</v>
      </c>
      <c r="H28" s="1">
        <v>10</v>
      </c>
      <c r="I28" s="1" t="s">
        <v>176</v>
      </c>
      <c r="J28" s="14" t="s">
        <v>410</v>
      </c>
      <c r="K28" s="1" t="s">
        <v>20</v>
      </c>
    </row>
    <row r="29" spans="1:12" ht="28.8" x14ac:dyDescent="0.3">
      <c r="A29" s="1">
        <v>7</v>
      </c>
      <c r="B29" s="1" t="s">
        <v>165</v>
      </c>
      <c r="C29" s="1" t="s">
        <v>167</v>
      </c>
      <c r="D29" s="4">
        <v>45047</v>
      </c>
      <c r="E29" s="5">
        <v>0.85416666666666663</v>
      </c>
      <c r="F29" s="1" t="s">
        <v>77</v>
      </c>
      <c r="G29" s="7" t="s">
        <v>74</v>
      </c>
      <c r="H29" s="1">
        <v>1</v>
      </c>
      <c r="I29" s="1" t="s">
        <v>36</v>
      </c>
      <c r="J29" s="14" t="s">
        <v>410</v>
      </c>
      <c r="K29" s="1" t="s">
        <v>20</v>
      </c>
    </row>
    <row r="30" spans="1:12" ht="28.8" x14ac:dyDescent="0.3">
      <c r="A30" s="1">
        <v>7</v>
      </c>
      <c r="B30" s="1" t="s">
        <v>165</v>
      </c>
      <c r="C30" s="1" t="s">
        <v>167</v>
      </c>
      <c r="D30" s="4">
        <v>45047</v>
      </c>
      <c r="E30" s="5">
        <v>0.85416666666666663</v>
      </c>
      <c r="F30" s="1" t="s">
        <v>155</v>
      </c>
      <c r="G30" s="7" t="s">
        <v>151</v>
      </c>
      <c r="H30" s="1">
        <v>2</v>
      </c>
      <c r="I30" s="1" t="s">
        <v>36</v>
      </c>
      <c r="J30" s="14" t="s">
        <v>410</v>
      </c>
      <c r="K30" s="1" t="s">
        <v>20</v>
      </c>
    </row>
    <row r="31" spans="1:12" ht="28.8" x14ac:dyDescent="0.3">
      <c r="A31" s="1">
        <v>8</v>
      </c>
      <c r="B31" s="1" t="s">
        <v>167</v>
      </c>
      <c r="C31" s="1" t="s">
        <v>168</v>
      </c>
      <c r="D31" s="4">
        <v>45047</v>
      </c>
      <c r="E31" s="5">
        <v>0.89583333333333337</v>
      </c>
      <c r="F31" s="1" t="s">
        <v>155</v>
      </c>
      <c r="G31" s="7" t="s">
        <v>151</v>
      </c>
      <c r="H31" s="1">
        <v>4</v>
      </c>
      <c r="I31" s="1" t="s">
        <v>36</v>
      </c>
      <c r="J31" s="14" t="s">
        <v>410</v>
      </c>
      <c r="K31" s="1" t="s">
        <v>20</v>
      </c>
    </row>
    <row r="32" spans="1:12" ht="28.8" x14ac:dyDescent="0.3">
      <c r="A32" s="1">
        <v>8</v>
      </c>
      <c r="B32" s="1" t="s">
        <v>167</v>
      </c>
      <c r="C32" s="1" t="s">
        <v>168</v>
      </c>
      <c r="D32" s="4">
        <v>45047</v>
      </c>
      <c r="E32" s="5">
        <v>0.89583333333333337</v>
      </c>
      <c r="F32" s="1" t="s">
        <v>37</v>
      </c>
      <c r="G32" s="7" t="s">
        <v>38</v>
      </c>
      <c r="H32" s="1">
        <v>4</v>
      </c>
      <c r="I32" s="1" t="s">
        <v>36</v>
      </c>
      <c r="J32" s="14" t="s">
        <v>410</v>
      </c>
      <c r="K32" s="1" t="s">
        <v>20</v>
      </c>
    </row>
    <row r="33" spans="1:12" ht="28.8" x14ac:dyDescent="0.3">
      <c r="A33" s="1">
        <v>8</v>
      </c>
      <c r="B33" s="1" t="s">
        <v>167</v>
      </c>
      <c r="C33" s="1" t="s">
        <v>168</v>
      </c>
      <c r="D33" s="4">
        <v>45047</v>
      </c>
      <c r="E33" s="5">
        <v>0.89583333333333337</v>
      </c>
      <c r="F33" s="1" t="s">
        <v>32</v>
      </c>
      <c r="G33" s="7" t="s">
        <v>33</v>
      </c>
      <c r="H33" s="1">
        <v>1</v>
      </c>
      <c r="I33" s="1" t="s">
        <v>36</v>
      </c>
      <c r="J33" s="14" t="s">
        <v>410</v>
      </c>
      <c r="K33" s="1" t="s">
        <v>20</v>
      </c>
    </row>
    <row r="34" spans="1:12" ht="28.8" x14ac:dyDescent="0.3">
      <c r="A34" s="1">
        <v>8</v>
      </c>
      <c r="B34" s="1" t="s">
        <v>167</v>
      </c>
      <c r="C34" s="1" t="s">
        <v>168</v>
      </c>
      <c r="D34" s="4">
        <v>45047</v>
      </c>
      <c r="E34" s="5">
        <v>0.89583333333333337</v>
      </c>
      <c r="F34" s="1" t="s">
        <v>77</v>
      </c>
      <c r="G34" s="7" t="s">
        <v>74</v>
      </c>
      <c r="H34" s="1">
        <v>2</v>
      </c>
      <c r="I34" s="1" t="s">
        <v>36</v>
      </c>
      <c r="J34" s="14" t="s">
        <v>410</v>
      </c>
      <c r="K34" s="1" t="s">
        <v>20</v>
      </c>
    </row>
    <row r="35" spans="1:12" ht="28.8" x14ac:dyDescent="0.3">
      <c r="A35" s="1">
        <v>8</v>
      </c>
      <c r="B35" s="1" t="s">
        <v>167</v>
      </c>
      <c r="C35" s="1" t="s">
        <v>168</v>
      </c>
      <c r="D35" s="4">
        <v>45047</v>
      </c>
      <c r="E35" s="5">
        <v>0.89583333333333337</v>
      </c>
      <c r="F35" s="1" t="s">
        <v>156</v>
      </c>
      <c r="G35" s="7" t="s">
        <v>72</v>
      </c>
      <c r="H35" s="1">
        <v>3</v>
      </c>
      <c r="I35" s="1" t="s">
        <v>36</v>
      </c>
      <c r="J35" s="14" t="s">
        <v>410</v>
      </c>
      <c r="K35" s="1" t="s">
        <v>20</v>
      </c>
    </row>
    <row r="36" spans="1:12" ht="28.8" x14ac:dyDescent="0.3">
      <c r="A36" s="1">
        <v>9</v>
      </c>
      <c r="B36" s="1" t="s">
        <v>169</v>
      </c>
      <c r="C36" s="1" t="s">
        <v>170</v>
      </c>
      <c r="D36" s="4">
        <v>45048</v>
      </c>
      <c r="E36" s="5">
        <v>0.43055555555555558</v>
      </c>
      <c r="F36" s="1" t="s">
        <v>68</v>
      </c>
      <c r="G36" s="7" t="s">
        <v>67</v>
      </c>
      <c r="H36" s="1">
        <v>1</v>
      </c>
      <c r="I36" s="1" t="s">
        <v>36</v>
      </c>
      <c r="J36" s="14" t="s">
        <v>410</v>
      </c>
      <c r="K36" s="1" t="s">
        <v>20</v>
      </c>
      <c r="L36" s="1" t="s">
        <v>295</v>
      </c>
    </row>
    <row r="37" spans="1:12" ht="28.8" x14ac:dyDescent="0.3">
      <c r="A37" s="1">
        <v>9</v>
      </c>
      <c r="B37" s="1" t="s">
        <v>169</v>
      </c>
      <c r="C37" s="1" t="s">
        <v>170</v>
      </c>
      <c r="D37" s="4">
        <v>45048</v>
      </c>
      <c r="E37" s="5">
        <v>0.43055555555555558</v>
      </c>
      <c r="F37" s="1" t="s">
        <v>17</v>
      </c>
      <c r="G37" s="7" t="s">
        <v>147</v>
      </c>
      <c r="H37" s="1">
        <v>1</v>
      </c>
      <c r="I37" s="1" t="s">
        <v>36</v>
      </c>
      <c r="J37" s="14" t="s">
        <v>410</v>
      </c>
      <c r="K37" s="1" t="s">
        <v>20</v>
      </c>
      <c r="L37" s="1" t="s">
        <v>292</v>
      </c>
    </row>
    <row r="38" spans="1:12" ht="28.8" x14ac:dyDescent="0.3">
      <c r="A38" s="1">
        <v>9</v>
      </c>
      <c r="B38" s="1" t="s">
        <v>169</v>
      </c>
      <c r="C38" s="1" t="s">
        <v>170</v>
      </c>
      <c r="D38" s="4">
        <v>45048</v>
      </c>
      <c r="E38" s="5">
        <v>0.43055555555555558</v>
      </c>
      <c r="F38" s="1" t="s">
        <v>32</v>
      </c>
      <c r="G38" s="7" t="s">
        <v>33</v>
      </c>
      <c r="H38" s="1">
        <v>1</v>
      </c>
      <c r="I38" s="1" t="s">
        <v>36</v>
      </c>
      <c r="J38" s="14" t="s">
        <v>410</v>
      </c>
      <c r="K38" s="1" t="s">
        <v>20</v>
      </c>
    </row>
    <row r="39" spans="1:12" ht="28.8" x14ac:dyDescent="0.3">
      <c r="A39" s="1">
        <v>10</v>
      </c>
      <c r="B39" s="1" t="s">
        <v>171</v>
      </c>
      <c r="C39" s="1" t="s">
        <v>172</v>
      </c>
      <c r="D39" s="4">
        <v>45048</v>
      </c>
      <c r="E39" s="5">
        <v>0.47222222222222227</v>
      </c>
      <c r="F39" s="1" t="s">
        <v>17</v>
      </c>
      <c r="G39" s="7" t="s">
        <v>147</v>
      </c>
      <c r="H39" s="1">
        <v>3</v>
      </c>
      <c r="I39" s="1" t="s">
        <v>36</v>
      </c>
      <c r="J39" s="14" t="s">
        <v>410</v>
      </c>
      <c r="K39" s="1" t="s">
        <v>20</v>
      </c>
    </row>
    <row r="40" spans="1:12" ht="28.8" x14ac:dyDescent="0.3">
      <c r="A40" s="1">
        <v>10</v>
      </c>
      <c r="B40" s="1" t="s">
        <v>171</v>
      </c>
      <c r="C40" s="1" t="s">
        <v>172</v>
      </c>
      <c r="D40" s="4">
        <v>45048</v>
      </c>
      <c r="E40" s="5">
        <v>0.47222222222222227</v>
      </c>
      <c r="F40" s="1" t="s">
        <v>68</v>
      </c>
      <c r="G40" s="7" t="s">
        <v>67</v>
      </c>
      <c r="H40" s="1">
        <v>2</v>
      </c>
      <c r="I40" s="1" t="s">
        <v>36</v>
      </c>
      <c r="J40" s="14" t="s">
        <v>410</v>
      </c>
      <c r="K40" s="1" t="s">
        <v>20</v>
      </c>
      <c r="L40" s="1" t="s">
        <v>294</v>
      </c>
    </row>
    <row r="41" spans="1:12" ht="28.8" x14ac:dyDescent="0.3">
      <c r="A41" s="1">
        <v>10</v>
      </c>
      <c r="B41" s="1" t="s">
        <v>171</v>
      </c>
      <c r="C41" s="1" t="s">
        <v>172</v>
      </c>
      <c r="D41" s="4">
        <v>45048</v>
      </c>
      <c r="E41" s="5">
        <v>0.47222222222222227</v>
      </c>
      <c r="F41" s="1" t="s">
        <v>105</v>
      </c>
      <c r="G41" s="7" t="s">
        <v>100</v>
      </c>
      <c r="H41" s="1">
        <v>1</v>
      </c>
      <c r="I41" s="1" t="s">
        <v>36</v>
      </c>
      <c r="J41" s="14" t="s">
        <v>410</v>
      </c>
      <c r="K41" s="1" t="s">
        <v>20</v>
      </c>
      <c r="L41" s="1" t="s">
        <v>293</v>
      </c>
    </row>
    <row r="42" spans="1:12" ht="28.8" x14ac:dyDescent="0.3">
      <c r="A42" s="1">
        <v>11</v>
      </c>
      <c r="B42" s="1" t="s">
        <v>173</v>
      </c>
      <c r="C42" s="1" t="s">
        <v>166</v>
      </c>
      <c r="D42" s="4">
        <v>45048</v>
      </c>
      <c r="E42" s="5">
        <v>0.76041666666666663</v>
      </c>
      <c r="F42" s="1" t="s">
        <v>17</v>
      </c>
      <c r="G42" s="7" t="s">
        <v>147</v>
      </c>
      <c r="H42" s="1">
        <v>1</v>
      </c>
      <c r="I42" s="1" t="s">
        <v>36</v>
      </c>
      <c r="J42" s="14" t="s">
        <v>410</v>
      </c>
      <c r="K42" s="1" t="s">
        <v>20</v>
      </c>
    </row>
    <row r="43" spans="1:12" ht="28.8" x14ac:dyDescent="0.3">
      <c r="A43" s="1">
        <v>11</v>
      </c>
      <c r="B43" s="1" t="s">
        <v>173</v>
      </c>
      <c r="C43" s="1" t="s">
        <v>166</v>
      </c>
      <c r="D43" s="4">
        <v>45048</v>
      </c>
      <c r="E43" s="5">
        <v>0.76041666666666663</v>
      </c>
      <c r="F43" s="1" t="s">
        <v>105</v>
      </c>
      <c r="G43" s="7" t="s">
        <v>100</v>
      </c>
      <c r="H43" s="1">
        <v>2</v>
      </c>
      <c r="I43" s="1" t="s">
        <v>36</v>
      </c>
      <c r="J43" s="14" t="s">
        <v>410</v>
      </c>
      <c r="K43" s="1" t="s">
        <v>20</v>
      </c>
    </row>
    <row r="44" spans="1:12" ht="28.8" x14ac:dyDescent="0.3">
      <c r="A44" s="1">
        <v>11</v>
      </c>
      <c r="B44" s="1" t="s">
        <v>173</v>
      </c>
      <c r="C44" s="1" t="s">
        <v>166</v>
      </c>
      <c r="D44" s="4">
        <v>45048</v>
      </c>
      <c r="E44" s="5">
        <v>0.76041666666666663</v>
      </c>
      <c r="F44" s="1" t="s">
        <v>37</v>
      </c>
      <c r="G44" s="7" t="s">
        <v>38</v>
      </c>
      <c r="H44" s="1">
        <v>1</v>
      </c>
      <c r="I44" s="1" t="s">
        <v>36</v>
      </c>
      <c r="J44" s="14" t="s">
        <v>410</v>
      </c>
      <c r="K44" s="1" t="s">
        <v>20</v>
      </c>
    </row>
    <row r="45" spans="1:12" ht="28.8" x14ac:dyDescent="0.3">
      <c r="A45" s="1">
        <v>12</v>
      </c>
      <c r="B45" s="1" t="s">
        <v>173</v>
      </c>
      <c r="C45" s="1" t="s">
        <v>174</v>
      </c>
      <c r="D45" s="4">
        <v>45048</v>
      </c>
      <c r="E45" s="5">
        <v>0.79861111111111116</v>
      </c>
      <c r="F45" s="1" t="s">
        <v>105</v>
      </c>
      <c r="G45" s="7" t="s">
        <v>100</v>
      </c>
      <c r="H45" s="1">
        <v>2</v>
      </c>
      <c r="I45" s="1" t="s">
        <v>36</v>
      </c>
      <c r="J45" s="14" t="s">
        <v>410</v>
      </c>
      <c r="K45" s="1" t="s">
        <v>20</v>
      </c>
    </row>
    <row r="46" spans="1:12" ht="28.8" x14ac:dyDescent="0.3">
      <c r="A46" s="1">
        <v>12</v>
      </c>
      <c r="B46" s="1" t="s">
        <v>173</v>
      </c>
      <c r="C46" s="1" t="s">
        <v>174</v>
      </c>
      <c r="D46" s="4">
        <v>45048</v>
      </c>
      <c r="E46" s="5">
        <v>0.79861111111111116</v>
      </c>
      <c r="F46" s="1" t="s">
        <v>157</v>
      </c>
      <c r="G46" s="7" t="s">
        <v>152</v>
      </c>
      <c r="H46" s="1">
        <v>4</v>
      </c>
      <c r="I46" s="1" t="s">
        <v>36</v>
      </c>
      <c r="J46" s="14" t="s">
        <v>410</v>
      </c>
      <c r="K46" s="1" t="s">
        <v>20</v>
      </c>
    </row>
    <row r="47" spans="1:12" ht="28.8" x14ac:dyDescent="0.3">
      <c r="A47" s="1">
        <v>12</v>
      </c>
      <c r="B47" s="1" t="s">
        <v>173</v>
      </c>
      <c r="C47" s="1" t="s">
        <v>174</v>
      </c>
      <c r="D47" s="4">
        <v>45048</v>
      </c>
      <c r="E47" s="5">
        <v>0.79861111111111116</v>
      </c>
      <c r="F47" s="1" t="s">
        <v>77</v>
      </c>
      <c r="G47" s="7" t="s">
        <v>74</v>
      </c>
      <c r="H47" s="1">
        <v>1</v>
      </c>
      <c r="I47" s="1" t="s">
        <v>36</v>
      </c>
      <c r="J47" s="14" t="s">
        <v>410</v>
      </c>
      <c r="K47" s="1" t="s">
        <v>20</v>
      </c>
      <c r="L47" s="1" t="s">
        <v>296</v>
      </c>
    </row>
    <row r="48" spans="1:12" ht="28.8" x14ac:dyDescent="0.3">
      <c r="A48" s="1">
        <v>13</v>
      </c>
      <c r="B48" s="1" t="s">
        <v>173</v>
      </c>
      <c r="C48" s="1" t="s">
        <v>175</v>
      </c>
      <c r="D48" s="4">
        <v>45048</v>
      </c>
      <c r="E48" s="5">
        <v>0.86111111111111116</v>
      </c>
      <c r="F48" s="1" t="s">
        <v>46</v>
      </c>
      <c r="G48" s="7" t="s">
        <v>47</v>
      </c>
      <c r="H48" s="1">
        <v>2</v>
      </c>
      <c r="I48" s="1" t="s">
        <v>36</v>
      </c>
      <c r="J48" s="14" t="s">
        <v>410</v>
      </c>
      <c r="K48" s="1" t="s">
        <v>20</v>
      </c>
      <c r="L48" s="1" t="s">
        <v>297</v>
      </c>
    </row>
    <row r="49" spans="1:12" ht="28.8" x14ac:dyDescent="0.3">
      <c r="A49" s="1">
        <v>13</v>
      </c>
      <c r="B49" s="1" t="s">
        <v>173</v>
      </c>
      <c r="C49" s="1" t="s">
        <v>175</v>
      </c>
      <c r="D49" s="4">
        <v>45048</v>
      </c>
      <c r="E49" s="5">
        <v>0.86111111111111116</v>
      </c>
      <c r="F49" s="1" t="s">
        <v>77</v>
      </c>
      <c r="G49" s="7" t="s">
        <v>74</v>
      </c>
      <c r="H49" s="1">
        <v>3</v>
      </c>
      <c r="I49" s="1" t="s">
        <v>36</v>
      </c>
      <c r="J49" s="14" t="s">
        <v>410</v>
      </c>
      <c r="K49" s="1" t="s">
        <v>20</v>
      </c>
      <c r="L49" s="1" t="s">
        <v>298</v>
      </c>
    </row>
    <row r="50" spans="1:12" ht="28.8" x14ac:dyDescent="0.3">
      <c r="A50" s="1">
        <v>13</v>
      </c>
      <c r="B50" s="1" t="s">
        <v>173</v>
      </c>
      <c r="C50" s="1" t="s">
        <v>175</v>
      </c>
      <c r="D50" s="4">
        <v>45048</v>
      </c>
      <c r="E50" s="5">
        <v>0.86111111111111116</v>
      </c>
      <c r="F50" s="1" t="s">
        <v>28</v>
      </c>
      <c r="G50" s="7" t="s">
        <v>29</v>
      </c>
      <c r="H50" s="1">
        <v>2</v>
      </c>
      <c r="I50" s="1" t="s">
        <v>36</v>
      </c>
      <c r="J50" s="14" t="s">
        <v>410</v>
      </c>
      <c r="K50" s="1" t="s">
        <v>20</v>
      </c>
      <c r="L50" s="1" t="s">
        <v>299</v>
      </c>
    </row>
    <row r="51" spans="1:12" ht="28.8" x14ac:dyDescent="0.3">
      <c r="A51" s="1">
        <v>13</v>
      </c>
      <c r="B51" s="1" t="s">
        <v>173</v>
      </c>
      <c r="C51" s="1" t="s">
        <v>175</v>
      </c>
      <c r="D51" s="4">
        <v>45048</v>
      </c>
      <c r="E51" s="5">
        <v>0.86111111111111116</v>
      </c>
      <c r="F51" s="1" t="s">
        <v>157</v>
      </c>
      <c r="G51" s="7" t="s">
        <v>152</v>
      </c>
      <c r="H51" s="1">
        <v>1</v>
      </c>
      <c r="I51" s="1" t="s">
        <v>36</v>
      </c>
      <c r="J51" s="14" t="s">
        <v>410</v>
      </c>
      <c r="K51" s="1" t="s">
        <v>20</v>
      </c>
      <c r="L51" s="1" t="s">
        <v>300</v>
      </c>
    </row>
    <row r="52" spans="1:12" ht="28.8" x14ac:dyDescent="0.3">
      <c r="A52" s="1">
        <v>13</v>
      </c>
      <c r="B52" s="1" t="s">
        <v>173</v>
      </c>
      <c r="C52" s="1" t="s">
        <v>175</v>
      </c>
      <c r="D52" s="4">
        <v>45048</v>
      </c>
      <c r="E52" s="5">
        <v>0.86111111111111116</v>
      </c>
      <c r="F52" s="1" t="s">
        <v>21</v>
      </c>
      <c r="G52" s="7" t="s">
        <v>22</v>
      </c>
      <c r="H52" s="1">
        <v>1</v>
      </c>
      <c r="I52" s="1" t="s">
        <v>36</v>
      </c>
      <c r="J52" s="14" t="s">
        <v>410</v>
      </c>
      <c r="K52" s="1" t="s">
        <v>20</v>
      </c>
      <c r="L52" s="1" t="s">
        <v>301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B866-BA56-458A-A61B-37F0ADB3EB33}">
  <dimension ref="A1:M38"/>
  <sheetViews>
    <sheetView zoomScale="93" zoomScaleNormal="93" workbookViewId="0">
      <selection activeCell="G26" sqref="G26"/>
    </sheetView>
  </sheetViews>
  <sheetFormatPr defaultColWidth="11.44140625" defaultRowHeight="15.6" x14ac:dyDescent="0.3"/>
  <cols>
    <col min="1" max="1" width="15.88671875" style="3" bestFit="1" customWidth="1"/>
    <col min="2" max="2" width="23.6640625" style="3" bestFit="1" customWidth="1"/>
    <col min="3" max="3" width="22.44140625" style="1" bestFit="1" customWidth="1"/>
    <col min="4" max="4" width="20.33203125" style="1" bestFit="1" customWidth="1"/>
    <col min="5" max="5" width="7.88671875" style="3" customWidth="1"/>
    <col min="6" max="6" width="26.109375" style="1" bestFit="1" customWidth="1"/>
    <col min="7" max="7" width="27.109375" style="1" bestFit="1" customWidth="1"/>
    <col min="8" max="8" width="7" style="1" customWidth="1"/>
    <col min="9" max="9" width="43.21875" style="1" customWidth="1"/>
    <col min="10" max="10" width="33.33203125" style="13" customWidth="1"/>
    <col min="11" max="11" width="33.44140625" style="1" customWidth="1"/>
    <col min="12" max="12" width="11.5546875" style="1" customWidth="1"/>
    <col min="13" max="13" width="35.33203125" style="1" customWidth="1"/>
    <col min="14" max="16384" width="11.44140625" style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3" x14ac:dyDescent="0.3">
      <c r="A2" s="3" t="s">
        <v>13</v>
      </c>
      <c r="B2" s="3" t="s">
        <v>177</v>
      </c>
      <c r="C2" s="3"/>
      <c r="D2" s="3" t="s">
        <v>16</v>
      </c>
      <c r="H2" s="3"/>
    </row>
    <row r="3" spans="1:13" x14ac:dyDescent="0.3">
      <c r="C3" s="3"/>
      <c r="D3" s="3"/>
      <c r="H3" s="3"/>
    </row>
    <row r="4" spans="1:13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15" t="s">
        <v>407</v>
      </c>
      <c r="K4" s="8" t="s">
        <v>10</v>
      </c>
      <c r="L4" s="8" t="s">
        <v>11</v>
      </c>
      <c r="M4" s="8" t="s">
        <v>12</v>
      </c>
    </row>
    <row r="5" spans="1:13" x14ac:dyDescent="0.3">
      <c r="A5" s="3">
        <v>1</v>
      </c>
      <c r="B5" s="3" t="s">
        <v>179</v>
      </c>
      <c r="C5" s="3" t="s">
        <v>180</v>
      </c>
      <c r="D5" s="4">
        <v>45041</v>
      </c>
      <c r="E5" s="5">
        <v>0.5625</v>
      </c>
      <c r="F5" s="1" t="s">
        <v>105</v>
      </c>
      <c r="G5" s="7" t="s">
        <v>100</v>
      </c>
      <c r="H5" s="1">
        <v>2</v>
      </c>
      <c r="I5" s="1" t="s">
        <v>36</v>
      </c>
      <c r="J5" s="14" t="s">
        <v>410</v>
      </c>
      <c r="K5" s="1" t="s">
        <v>20</v>
      </c>
    </row>
    <row r="6" spans="1:13" x14ac:dyDescent="0.3">
      <c r="A6" s="3">
        <v>1</v>
      </c>
      <c r="B6" s="3" t="s">
        <v>179</v>
      </c>
      <c r="C6" s="3" t="s">
        <v>180</v>
      </c>
      <c r="D6" s="4">
        <v>45041</v>
      </c>
      <c r="E6" s="5">
        <v>0.5625</v>
      </c>
      <c r="F6" s="1" t="s">
        <v>32</v>
      </c>
      <c r="G6" s="7" t="s">
        <v>33</v>
      </c>
      <c r="H6" s="1">
        <v>1</v>
      </c>
      <c r="I6" s="1" t="s">
        <v>36</v>
      </c>
      <c r="J6" s="14" t="s">
        <v>410</v>
      </c>
      <c r="K6" s="1" t="s">
        <v>20</v>
      </c>
    </row>
    <row r="7" spans="1:13" x14ac:dyDescent="0.3">
      <c r="A7" s="3">
        <v>2</v>
      </c>
      <c r="B7" s="3" t="s">
        <v>180</v>
      </c>
      <c r="C7" s="1" t="s">
        <v>181</v>
      </c>
      <c r="D7" s="4">
        <v>45041</v>
      </c>
      <c r="E7" s="5">
        <v>0.60416666666666663</v>
      </c>
      <c r="F7" s="1" t="s">
        <v>21</v>
      </c>
      <c r="G7" s="7" t="s">
        <v>22</v>
      </c>
      <c r="H7" s="1">
        <v>1</v>
      </c>
      <c r="I7" s="1" t="s">
        <v>36</v>
      </c>
      <c r="J7" s="14" t="s">
        <v>410</v>
      </c>
      <c r="K7" s="1" t="s">
        <v>20</v>
      </c>
    </row>
    <row r="8" spans="1:13" x14ac:dyDescent="0.3">
      <c r="A8" s="3">
        <v>2</v>
      </c>
      <c r="B8" s="3" t="s">
        <v>180</v>
      </c>
      <c r="C8" s="1" t="s">
        <v>181</v>
      </c>
      <c r="D8" s="4">
        <v>45041</v>
      </c>
      <c r="E8" s="5">
        <v>0.60416666666666663</v>
      </c>
      <c r="F8" s="1" t="s">
        <v>55</v>
      </c>
      <c r="G8" s="7" t="s">
        <v>56</v>
      </c>
      <c r="H8" s="1">
        <v>2</v>
      </c>
      <c r="I8" s="1" t="s">
        <v>192</v>
      </c>
      <c r="J8" s="14" t="s">
        <v>410</v>
      </c>
      <c r="K8" s="1" t="s">
        <v>20</v>
      </c>
    </row>
    <row r="9" spans="1:13" x14ac:dyDescent="0.3">
      <c r="A9" s="3">
        <v>2</v>
      </c>
      <c r="B9" s="3" t="s">
        <v>180</v>
      </c>
      <c r="C9" s="1" t="s">
        <v>181</v>
      </c>
      <c r="D9" s="4">
        <v>45041</v>
      </c>
      <c r="E9" s="5">
        <v>0.60416666666666663</v>
      </c>
      <c r="F9" s="1" t="s">
        <v>90</v>
      </c>
      <c r="G9" s="7" t="s">
        <v>60</v>
      </c>
      <c r="H9" s="1">
        <v>2</v>
      </c>
      <c r="I9" s="1" t="s">
        <v>192</v>
      </c>
      <c r="J9" s="14" t="s">
        <v>410</v>
      </c>
      <c r="K9" s="1" t="s">
        <v>20</v>
      </c>
    </row>
    <row r="10" spans="1:13" x14ac:dyDescent="0.3">
      <c r="A10" s="3">
        <v>2</v>
      </c>
      <c r="B10" s="3" t="s">
        <v>180</v>
      </c>
      <c r="C10" s="1" t="s">
        <v>181</v>
      </c>
      <c r="D10" s="4">
        <v>45041</v>
      </c>
      <c r="E10" s="5">
        <v>0.60416666666666663</v>
      </c>
      <c r="F10" s="1" t="s">
        <v>32</v>
      </c>
      <c r="G10" s="7" t="s">
        <v>33</v>
      </c>
      <c r="H10" s="1">
        <v>2</v>
      </c>
      <c r="I10" s="1" t="s">
        <v>192</v>
      </c>
      <c r="J10" s="14" t="s">
        <v>410</v>
      </c>
      <c r="K10" s="1" t="s">
        <v>20</v>
      </c>
    </row>
    <row r="11" spans="1:13" x14ac:dyDescent="0.3">
      <c r="A11" s="3">
        <v>3</v>
      </c>
      <c r="B11" s="3" t="s">
        <v>179</v>
      </c>
      <c r="C11" s="1" t="s">
        <v>180</v>
      </c>
      <c r="D11" s="4">
        <v>45041</v>
      </c>
      <c r="E11" s="5">
        <v>0.80555555555555547</v>
      </c>
      <c r="F11" s="1" t="s">
        <v>156</v>
      </c>
      <c r="G11" s="7" t="s">
        <v>72</v>
      </c>
      <c r="H11" s="1">
        <v>1</v>
      </c>
      <c r="I11" s="1" t="s">
        <v>36</v>
      </c>
      <c r="J11" s="14" t="s">
        <v>410</v>
      </c>
      <c r="K11" s="1" t="s">
        <v>20</v>
      </c>
      <c r="L11" s="1" t="s">
        <v>302</v>
      </c>
    </row>
    <row r="12" spans="1:13" x14ac:dyDescent="0.3">
      <c r="A12" s="3">
        <v>3</v>
      </c>
      <c r="B12" s="3" t="s">
        <v>179</v>
      </c>
      <c r="C12" s="1" t="s">
        <v>180</v>
      </c>
      <c r="D12" s="4">
        <v>45041</v>
      </c>
      <c r="E12" s="5">
        <v>0.80555555555555547</v>
      </c>
      <c r="F12" s="1" t="s">
        <v>21</v>
      </c>
      <c r="G12" s="7" t="s">
        <v>22</v>
      </c>
      <c r="H12" s="1">
        <v>1</v>
      </c>
      <c r="I12" s="1" t="s">
        <v>36</v>
      </c>
      <c r="J12" s="14" t="s">
        <v>410</v>
      </c>
      <c r="K12" s="1" t="s">
        <v>20</v>
      </c>
    </row>
    <row r="13" spans="1:13" x14ac:dyDescent="0.3">
      <c r="A13" s="3">
        <v>3</v>
      </c>
      <c r="B13" s="3" t="s">
        <v>179</v>
      </c>
      <c r="C13" s="1" t="s">
        <v>180</v>
      </c>
      <c r="D13" s="4">
        <v>45041</v>
      </c>
      <c r="E13" s="5">
        <v>0.80555555555555547</v>
      </c>
      <c r="F13" s="1" t="s">
        <v>105</v>
      </c>
      <c r="G13" s="7" t="s">
        <v>100</v>
      </c>
      <c r="H13" s="1">
        <v>2</v>
      </c>
      <c r="I13" s="1" t="s">
        <v>36</v>
      </c>
      <c r="J13" s="14" t="s">
        <v>410</v>
      </c>
      <c r="K13" s="1" t="s">
        <v>20</v>
      </c>
    </row>
    <row r="14" spans="1:13" x14ac:dyDescent="0.3">
      <c r="A14" s="3">
        <v>4</v>
      </c>
      <c r="B14" s="3" t="s">
        <v>180</v>
      </c>
      <c r="C14" s="1" t="s">
        <v>181</v>
      </c>
      <c r="D14" s="4">
        <v>45041</v>
      </c>
      <c r="E14" s="5">
        <v>0.84722222222222221</v>
      </c>
      <c r="F14" s="1" t="s">
        <v>89</v>
      </c>
      <c r="G14" s="7" t="s">
        <v>83</v>
      </c>
      <c r="H14" s="1">
        <v>1</v>
      </c>
      <c r="I14" s="1" t="s">
        <v>192</v>
      </c>
      <c r="J14" s="14" t="s">
        <v>410</v>
      </c>
      <c r="K14" s="1" t="s">
        <v>20</v>
      </c>
    </row>
    <row r="15" spans="1:13" x14ac:dyDescent="0.3">
      <c r="A15" s="3">
        <v>4</v>
      </c>
      <c r="B15" s="3" t="s">
        <v>180</v>
      </c>
      <c r="C15" s="1" t="s">
        <v>181</v>
      </c>
      <c r="D15" s="4">
        <v>45041</v>
      </c>
      <c r="E15" s="5">
        <v>0.84722222222222221</v>
      </c>
      <c r="F15" s="1" t="s">
        <v>55</v>
      </c>
      <c r="G15" s="7" t="s">
        <v>56</v>
      </c>
      <c r="H15" s="1">
        <v>8</v>
      </c>
      <c r="I15" s="1" t="s">
        <v>192</v>
      </c>
      <c r="J15" s="14" t="s">
        <v>410</v>
      </c>
      <c r="K15" s="1" t="s">
        <v>20</v>
      </c>
    </row>
    <row r="16" spans="1:13" x14ac:dyDescent="0.3">
      <c r="A16" s="3">
        <v>4</v>
      </c>
      <c r="B16" s="3" t="s">
        <v>180</v>
      </c>
      <c r="C16" s="1" t="s">
        <v>181</v>
      </c>
      <c r="D16" s="4">
        <v>45041</v>
      </c>
      <c r="E16" s="5">
        <v>0.84722222222222221</v>
      </c>
      <c r="F16" s="1" t="s">
        <v>90</v>
      </c>
      <c r="G16" s="7" t="s">
        <v>60</v>
      </c>
      <c r="H16" s="1">
        <v>22</v>
      </c>
      <c r="I16" s="1" t="s">
        <v>192</v>
      </c>
      <c r="J16" s="14" t="s">
        <v>410</v>
      </c>
      <c r="K16" s="1" t="s">
        <v>20</v>
      </c>
    </row>
    <row r="17" spans="1:12" x14ac:dyDescent="0.3">
      <c r="A17" s="3">
        <v>4</v>
      </c>
      <c r="B17" s="3" t="s">
        <v>180</v>
      </c>
      <c r="C17" s="1" t="s">
        <v>181</v>
      </c>
      <c r="D17" s="4">
        <v>45041</v>
      </c>
      <c r="E17" s="5">
        <v>0.84722222222222221</v>
      </c>
      <c r="F17" s="1" t="s">
        <v>77</v>
      </c>
      <c r="G17" s="7" t="s">
        <v>74</v>
      </c>
      <c r="H17" s="1">
        <v>1</v>
      </c>
      <c r="I17" s="1" t="s">
        <v>192</v>
      </c>
      <c r="J17" s="14" t="s">
        <v>410</v>
      </c>
      <c r="K17" s="1" t="s">
        <v>20</v>
      </c>
    </row>
    <row r="18" spans="1:12" x14ac:dyDescent="0.3">
      <c r="A18" s="3">
        <v>4</v>
      </c>
      <c r="B18" s="3" t="s">
        <v>180</v>
      </c>
      <c r="C18" s="1" t="s">
        <v>181</v>
      </c>
      <c r="D18" s="4">
        <v>45041</v>
      </c>
      <c r="E18" s="5">
        <v>0.84722222222222221</v>
      </c>
      <c r="F18" s="1" t="s">
        <v>37</v>
      </c>
      <c r="G18" s="7" t="s">
        <v>38</v>
      </c>
      <c r="H18" s="1">
        <v>1</v>
      </c>
      <c r="I18" s="1" t="s">
        <v>192</v>
      </c>
      <c r="J18" s="14" t="s">
        <v>410</v>
      </c>
      <c r="K18" s="1" t="s">
        <v>20</v>
      </c>
    </row>
    <row r="19" spans="1:12" x14ac:dyDescent="0.3">
      <c r="A19" s="3">
        <v>4</v>
      </c>
      <c r="B19" s="3" t="s">
        <v>180</v>
      </c>
      <c r="C19" s="1" t="s">
        <v>181</v>
      </c>
      <c r="D19" s="4">
        <v>45041</v>
      </c>
      <c r="E19" s="5">
        <v>0.84722222222222221</v>
      </c>
      <c r="F19" s="1" t="s">
        <v>57</v>
      </c>
      <c r="G19" s="7" t="s">
        <v>58</v>
      </c>
      <c r="H19" s="1">
        <v>1</v>
      </c>
      <c r="I19" s="1" t="s">
        <v>192</v>
      </c>
      <c r="J19" s="14" t="s">
        <v>410</v>
      </c>
      <c r="K19" s="1" t="s">
        <v>20</v>
      </c>
    </row>
    <row r="20" spans="1:12" x14ac:dyDescent="0.3">
      <c r="A20" s="3">
        <v>5</v>
      </c>
      <c r="B20" s="3" t="s">
        <v>182</v>
      </c>
      <c r="C20" s="1" t="s">
        <v>183</v>
      </c>
      <c r="D20" s="4">
        <v>45041</v>
      </c>
      <c r="E20" s="5">
        <v>0.88888888888888884</v>
      </c>
      <c r="F20" s="1" t="s">
        <v>32</v>
      </c>
      <c r="G20" s="7" t="s">
        <v>33</v>
      </c>
      <c r="H20" s="1">
        <v>2</v>
      </c>
      <c r="I20" s="1" t="s">
        <v>36</v>
      </c>
      <c r="J20" s="14" t="s">
        <v>410</v>
      </c>
      <c r="K20" s="1" t="s">
        <v>20</v>
      </c>
    </row>
    <row r="21" spans="1:12" x14ac:dyDescent="0.3">
      <c r="A21" s="3">
        <v>5</v>
      </c>
      <c r="B21" s="3" t="s">
        <v>182</v>
      </c>
      <c r="C21" s="1" t="s">
        <v>183</v>
      </c>
      <c r="D21" s="4">
        <v>45041</v>
      </c>
      <c r="E21" s="5">
        <v>0.88888888888888884</v>
      </c>
      <c r="F21" s="1" t="s">
        <v>21</v>
      </c>
      <c r="G21" s="7" t="s">
        <v>22</v>
      </c>
      <c r="H21" s="1">
        <v>1</v>
      </c>
      <c r="I21" s="1" t="s">
        <v>36</v>
      </c>
      <c r="J21" s="14" t="s">
        <v>410</v>
      </c>
      <c r="K21" s="1" t="s">
        <v>20</v>
      </c>
    </row>
    <row r="22" spans="1:12" x14ac:dyDescent="0.3">
      <c r="A22" s="3">
        <v>5</v>
      </c>
      <c r="B22" s="3" t="s">
        <v>182</v>
      </c>
      <c r="C22" s="1" t="s">
        <v>183</v>
      </c>
      <c r="D22" s="4">
        <v>45041</v>
      </c>
      <c r="E22" s="5">
        <v>0.88888888888888884</v>
      </c>
      <c r="F22" s="1" t="s">
        <v>155</v>
      </c>
      <c r="G22" s="7" t="s">
        <v>151</v>
      </c>
      <c r="H22" s="1">
        <v>1</v>
      </c>
      <c r="I22" s="1" t="s">
        <v>36</v>
      </c>
      <c r="J22" s="14" t="s">
        <v>410</v>
      </c>
      <c r="K22" s="1" t="s">
        <v>20</v>
      </c>
    </row>
    <row r="23" spans="1:12" x14ac:dyDescent="0.3">
      <c r="A23" s="3">
        <v>6</v>
      </c>
      <c r="B23" s="3" t="s">
        <v>184</v>
      </c>
      <c r="C23" s="1" t="s">
        <v>185</v>
      </c>
      <c r="D23" s="4">
        <v>45050</v>
      </c>
      <c r="E23" s="5">
        <v>0.63888888888888895</v>
      </c>
      <c r="F23" s="1" t="s">
        <v>21</v>
      </c>
      <c r="G23" s="7" t="s">
        <v>22</v>
      </c>
      <c r="H23" s="1">
        <v>1</v>
      </c>
      <c r="I23" s="1" t="s">
        <v>36</v>
      </c>
      <c r="J23" s="14" t="s">
        <v>410</v>
      </c>
      <c r="K23" s="1" t="s">
        <v>20</v>
      </c>
      <c r="L23" s="1" t="s">
        <v>303</v>
      </c>
    </row>
    <row r="24" spans="1:12" x14ac:dyDescent="0.3">
      <c r="A24" s="3">
        <v>6</v>
      </c>
      <c r="B24" s="3" t="s">
        <v>184</v>
      </c>
      <c r="C24" s="1" t="s">
        <v>185</v>
      </c>
      <c r="D24" s="4">
        <v>45050</v>
      </c>
      <c r="E24" s="5">
        <v>0.63888888888888895</v>
      </c>
      <c r="F24" s="1" t="s">
        <v>105</v>
      </c>
      <c r="G24" s="7" t="s">
        <v>100</v>
      </c>
      <c r="H24" s="1">
        <v>1</v>
      </c>
      <c r="I24" s="1" t="s">
        <v>36</v>
      </c>
      <c r="J24" s="14" t="s">
        <v>410</v>
      </c>
      <c r="K24" s="1" t="s">
        <v>20</v>
      </c>
      <c r="L24" s="1" t="s">
        <v>306</v>
      </c>
    </row>
    <row r="25" spans="1:12" x14ac:dyDescent="0.3">
      <c r="A25" s="3">
        <v>6</v>
      </c>
      <c r="B25" s="3" t="s">
        <v>184</v>
      </c>
      <c r="C25" s="1" t="s">
        <v>185</v>
      </c>
      <c r="D25" s="4">
        <v>45050</v>
      </c>
      <c r="E25" s="5">
        <v>0.63888888888888895</v>
      </c>
      <c r="F25" s="1" t="s">
        <v>32</v>
      </c>
      <c r="G25" s="7" t="s">
        <v>33</v>
      </c>
      <c r="H25" s="1">
        <v>3</v>
      </c>
      <c r="I25" s="1" t="s">
        <v>36</v>
      </c>
      <c r="J25" s="14" t="s">
        <v>410</v>
      </c>
      <c r="K25" s="1" t="s">
        <v>20</v>
      </c>
      <c r="L25" s="1" t="s">
        <v>304</v>
      </c>
    </row>
    <row r="26" spans="1:12" x14ac:dyDescent="0.3">
      <c r="A26" s="3">
        <v>6</v>
      </c>
      <c r="B26" s="3" t="s">
        <v>184</v>
      </c>
      <c r="C26" s="1" t="s">
        <v>185</v>
      </c>
      <c r="D26" s="4">
        <v>45050</v>
      </c>
      <c r="E26" s="5">
        <v>0.63888888888888895</v>
      </c>
      <c r="F26" s="1" t="s">
        <v>153</v>
      </c>
      <c r="G26" s="7" t="s">
        <v>146</v>
      </c>
      <c r="H26" s="1">
        <v>1</v>
      </c>
      <c r="I26" s="1" t="s">
        <v>192</v>
      </c>
      <c r="J26" s="14" t="s">
        <v>410</v>
      </c>
      <c r="K26" s="1" t="s">
        <v>20</v>
      </c>
      <c r="L26" s="1" t="s">
        <v>305</v>
      </c>
    </row>
    <row r="27" spans="1:12" x14ac:dyDescent="0.3">
      <c r="A27" s="3">
        <v>6</v>
      </c>
      <c r="B27" s="3" t="s">
        <v>184</v>
      </c>
      <c r="C27" s="1" t="s">
        <v>185</v>
      </c>
      <c r="D27" s="4">
        <v>45050</v>
      </c>
      <c r="E27" s="5">
        <v>0.63888888888888895</v>
      </c>
      <c r="F27" s="1" t="s">
        <v>89</v>
      </c>
      <c r="G27" s="7" t="s">
        <v>83</v>
      </c>
      <c r="H27" s="1">
        <v>1</v>
      </c>
      <c r="I27" s="1" t="s">
        <v>192</v>
      </c>
      <c r="J27" s="14" t="s">
        <v>410</v>
      </c>
      <c r="K27" s="1" t="s">
        <v>20</v>
      </c>
    </row>
    <row r="28" spans="1:12" x14ac:dyDescent="0.3">
      <c r="A28" s="3">
        <v>7</v>
      </c>
      <c r="B28" s="3" t="s">
        <v>186</v>
      </c>
      <c r="C28" s="1" t="s">
        <v>187</v>
      </c>
      <c r="D28" s="4">
        <v>45050</v>
      </c>
      <c r="E28" s="5">
        <v>0.79513888888888884</v>
      </c>
      <c r="F28" s="1" t="s">
        <v>77</v>
      </c>
      <c r="G28" s="7" t="s">
        <v>74</v>
      </c>
      <c r="H28" s="1">
        <v>2</v>
      </c>
      <c r="I28" s="1" t="s">
        <v>192</v>
      </c>
      <c r="J28" s="14" t="s">
        <v>410</v>
      </c>
      <c r="K28" s="1" t="s">
        <v>20</v>
      </c>
      <c r="L28" s="1" t="s">
        <v>308</v>
      </c>
    </row>
    <row r="29" spans="1:12" x14ac:dyDescent="0.3">
      <c r="A29" s="3">
        <v>7</v>
      </c>
      <c r="B29" s="3" t="s">
        <v>186</v>
      </c>
      <c r="C29" s="1" t="s">
        <v>187</v>
      </c>
      <c r="D29" s="4">
        <v>45050</v>
      </c>
      <c r="E29" s="5">
        <v>0.79513888888888884</v>
      </c>
      <c r="F29" s="1" t="s">
        <v>55</v>
      </c>
      <c r="G29" s="7" t="s">
        <v>56</v>
      </c>
      <c r="H29" s="1">
        <v>18</v>
      </c>
      <c r="I29" s="1" t="s">
        <v>192</v>
      </c>
      <c r="J29" s="14" t="s">
        <v>410</v>
      </c>
      <c r="K29" s="1" t="s">
        <v>20</v>
      </c>
      <c r="L29" s="1" t="s">
        <v>313</v>
      </c>
    </row>
    <row r="30" spans="1:12" x14ac:dyDescent="0.3">
      <c r="A30" s="3">
        <v>7</v>
      </c>
      <c r="B30" s="3" t="s">
        <v>186</v>
      </c>
      <c r="C30" s="1" t="s">
        <v>187</v>
      </c>
      <c r="D30" s="4">
        <v>45050</v>
      </c>
      <c r="E30" s="5">
        <v>0.79513888888888884</v>
      </c>
      <c r="F30" s="1" t="s">
        <v>57</v>
      </c>
      <c r="G30" s="7" t="s">
        <v>58</v>
      </c>
      <c r="H30" s="1">
        <v>2</v>
      </c>
      <c r="I30" s="1" t="s">
        <v>192</v>
      </c>
      <c r="J30" s="14" t="s">
        <v>410</v>
      </c>
      <c r="K30" s="1" t="s">
        <v>20</v>
      </c>
    </row>
    <row r="31" spans="1:12" x14ac:dyDescent="0.3">
      <c r="A31" s="3">
        <v>7</v>
      </c>
      <c r="B31" s="3" t="s">
        <v>186</v>
      </c>
      <c r="C31" s="1" t="s">
        <v>187</v>
      </c>
      <c r="D31" s="4">
        <v>45050</v>
      </c>
      <c r="E31" s="5">
        <v>0.79513888888888884</v>
      </c>
      <c r="F31" s="1" t="s">
        <v>37</v>
      </c>
      <c r="G31" s="7" t="s">
        <v>38</v>
      </c>
      <c r="H31" s="1">
        <v>3</v>
      </c>
      <c r="I31" s="1" t="s">
        <v>192</v>
      </c>
      <c r="J31" s="14" t="s">
        <v>410</v>
      </c>
      <c r="K31" s="1" t="s">
        <v>20</v>
      </c>
      <c r="L31" s="1" t="s">
        <v>310</v>
      </c>
    </row>
    <row r="32" spans="1:12" x14ac:dyDescent="0.3">
      <c r="A32" s="3">
        <v>7</v>
      </c>
      <c r="B32" s="3" t="s">
        <v>186</v>
      </c>
      <c r="C32" s="1" t="s">
        <v>187</v>
      </c>
      <c r="D32" s="4">
        <v>45050</v>
      </c>
      <c r="E32" s="5">
        <v>0.79513888888888884</v>
      </c>
      <c r="F32" s="1" t="s">
        <v>90</v>
      </c>
      <c r="G32" s="7" t="s">
        <v>60</v>
      </c>
      <c r="H32" s="1">
        <v>5</v>
      </c>
      <c r="I32" s="1" t="s">
        <v>192</v>
      </c>
      <c r="J32" s="14" t="s">
        <v>410</v>
      </c>
      <c r="K32" s="1" t="s">
        <v>20</v>
      </c>
      <c r="L32" s="1" t="s">
        <v>311</v>
      </c>
    </row>
    <row r="33" spans="1:13" x14ac:dyDescent="0.3">
      <c r="A33" s="3">
        <v>7</v>
      </c>
      <c r="B33" s="3" t="s">
        <v>186</v>
      </c>
      <c r="C33" s="1" t="s">
        <v>187</v>
      </c>
      <c r="D33" s="4">
        <v>45050</v>
      </c>
      <c r="E33" s="5">
        <v>0.79513888888888884</v>
      </c>
      <c r="F33" s="1" t="s">
        <v>32</v>
      </c>
      <c r="G33" s="7" t="s">
        <v>33</v>
      </c>
      <c r="H33" s="1">
        <v>3</v>
      </c>
      <c r="I33" s="1" t="s">
        <v>192</v>
      </c>
      <c r="J33" s="14" t="s">
        <v>410</v>
      </c>
      <c r="K33" s="1" t="s">
        <v>20</v>
      </c>
      <c r="L33" s="1" t="s">
        <v>309</v>
      </c>
    </row>
    <row r="34" spans="1:13" x14ac:dyDescent="0.3">
      <c r="A34" s="3">
        <v>8</v>
      </c>
      <c r="B34" s="3" t="s">
        <v>188</v>
      </c>
      <c r="C34" s="1" t="s">
        <v>189</v>
      </c>
      <c r="D34" s="4">
        <v>45050</v>
      </c>
      <c r="E34" s="5">
        <v>0.87291666666666667</v>
      </c>
      <c r="F34" s="1" t="s">
        <v>190</v>
      </c>
      <c r="G34" s="7" t="s">
        <v>178</v>
      </c>
      <c r="H34" s="1">
        <v>1</v>
      </c>
      <c r="I34" s="1" t="s">
        <v>36</v>
      </c>
      <c r="J34" s="14" t="s">
        <v>410</v>
      </c>
      <c r="K34" s="1" t="s">
        <v>20</v>
      </c>
      <c r="M34" s="1" t="s">
        <v>191</v>
      </c>
    </row>
    <row r="35" spans="1:13" x14ac:dyDescent="0.3">
      <c r="A35" s="3">
        <v>8</v>
      </c>
      <c r="B35" s="3" t="s">
        <v>188</v>
      </c>
      <c r="C35" s="1" t="s">
        <v>189</v>
      </c>
      <c r="D35" s="4">
        <v>45050</v>
      </c>
      <c r="E35" s="5">
        <v>0.87291666666666667</v>
      </c>
      <c r="F35" s="1" t="s">
        <v>21</v>
      </c>
      <c r="G35" s="7" t="s">
        <v>22</v>
      </c>
      <c r="H35" s="1">
        <v>3</v>
      </c>
      <c r="I35" s="1" t="s">
        <v>36</v>
      </c>
      <c r="J35" s="14" t="s">
        <v>410</v>
      </c>
      <c r="K35" s="1" t="s">
        <v>20</v>
      </c>
    </row>
    <row r="36" spans="1:13" x14ac:dyDescent="0.3">
      <c r="A36" s="3">
        <v>8</v>
      </c>
      <c r="B36" s="3" t="s">
        <v>188</v>
      </c>
      <c r="C36" s="1" t="s">
        <v>189</v>
      </c>
      <c r="D36" s="4">
        <v>45050</v>
      </c>
      <c r="E36" s="5">
        <v>0.87291666666666667</v>
      </c>
      <c r="F36" s="1" t="s">
        <v>37</v>
      </c>
      <c r="G36" s="7" t="s">
        <v>38</v>
      </c>
      <c r="H36" s="1">
        <v>2</v>
      </c>
      <c r="I36" s="1" t="s">
        <v>36</v>
      </c>
      <c r="J36" s="14" t="s">
        <v>410</v>
      </c>
      <c r="K36" s="1" t="s">
        <v>20</v>
      </c>
      <c r="L36" s="1" t="s">
        <v>312</v>
      </c>
    </row>
    <row r="37" spans="1:13" x14ac:dyDescent="0.3">
      <c r="A37" s="3">
        <v>8</v>
      </c>
      <c r="B37" s="3" t="s">
        <v>188</v>
      </c>
      <c r="C37" s="1" t="s">
        <v>189</v>
      </c>
      <c r="D37" s="4">
        <v>45050</v>
      </c>
      <c r="E37" s="5">
        <v>0.87291666666666667</v>
      </c>
      <c r="F37" s="1" t="s">
        <v>49</v>
      </c>
      <c r="G37" s="7" t="s">
        <v>50</v>
      </c>
      <c r="H37" s="1">
        <v>3</v>
      </c>
      <c r="I37" s="1" t="s">
        <v>192</v>
      </c>
      <c r="J37" s="14" t="s">
        <v>410</v>
      </c>
      <c r="K37" s="1" t="s">
        <v>20</v>
      </c>
      <c r="L37" s="1" t="s">
        <v>307</v>
      </c>
    </row>
    <row r="38" spans="1:13" x14ac:dyDescent="0.3">
      <c r="A38" s="3">
        <v>8</v>
      </c>
      <c r="B38" s="3" t="s">
        <v>188</v>
      </c>
      <c r="C38" s="1" t="s">
        <v>189</v>
      </c>
      <c r="D38" s="4">
        <v>45050</v>
      </c>
      <c r="E38" s="5">
        <v>0.87291666666666667</v>
      </c>
      <c r="F38" s="1" t="s">
        <v>28</v>
      </c>
      <c r="G38" s="7" t="s">
        <v>29</v>
      </c>
      <c r="H38" s="1">
        <v>1</v>
      </c>
      <c r="I38" s="1" t="s">
        <v>192</v>
      </c>
      <c r="J38" s="14" t="s">
        <v>410</v>
      </c>
      <c r="K38" s="1" t="s">
        <v>20</v>
      </c>
      <c r="L38" s="1" t="s">
        <v>314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DAED-AF5C-481E-B9E2-4FD470BF5E8A}">
  <dimension ref="A1:M39"/>
  <sheetViews>
    <sheetView topLeftCell="A4" workbookViewId="0">
      <selection activeCell="G12" sqref="G12"/>
    </sheetView>
  </sheetViews>
  <sheetFormatPr defaultColWidth="11.44140625" defaultRowHeight="15.6" x14ac:dyDescent="0.3"/>
  <cols>
    <col min="1" max="1" width="15.88671875" style="1" bestFit="1" customWidth="1"/>
    <col min="2" max="3" width="22.44140625" style="3" bestFit="1" customWidth="1"/>
    <col min="4" max="4" width="20.33203125" style="1" bestFit="1" customWidth="1"/>
    <col min="5" max="5" width="7.6640625" style="3" customWidth="1"/>
    <col min="6" max="6" width="26.109375" style="1" bestFit="1" customWidth="1"/>
    <col min="7" max="7" width="21" style="1" bestFit="1" customWidth="1"/>
    <col min="8" max="8" width="4" style="1" customWidth="1"/>
    <col min="9" max="9" width="42.109375" style="1" customWidth="1"/>
    <col min="10" max="10" width="42.109375" style="13" customWidth="1"/>
    <col min="11" max="11" width="31.5546875" style="1" customWidth="1"/>
    <col min="12" max="12" width="11" style="1" customWidth="1"/>
    <col min="13" max="13" width="33.44140625" style="1" customWidth="1"/>
    <col min="14" max="16384" width="11.44140625" style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3" x14ac:dyDescent="0.3">
      <c r="A2" s="3" t="s">
        <v>13</v>
      </c>
      <c r="B2" s="3" t="s">
        <v>193</v>
      </c>
      <c r="D2" s="3" t="s">
        <v>16</v>
      </c>
      <c r="H2" s="3"/>
    </row>
    <row r="3" spans="1:13" x14ac:dyDescent="0.3">
      <c r="A3" s="3"/>
      <c r="D3" s="3"/>
      <c r="H3" s="3"/>
    </row>
    <row r="4" spans="1:13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15" t="s">
        <v>407</v>
      </c>
      <c r="K4" s="8" t="s">
        <v>10</v>
      </c>
      <c r="L4" s="8" t="s">
        <v>11</v>
      </c>
      <c r="M4" s="8" t="s">
        <v>12</v>
      </c>
    </row>
    <row r="5" spans="1:13" hidden="1" x14ac:dyDescent="0.3">
      <c r="A5" s="3">
        <v>1</v>
      </c>
      <c r="B5" s="3" t="s">
        <v>196</v>
      </c>
      <c r="C5" s="3" t="s">
        <v>197</v>
      </c>
      <c r="D5" s="4">
        <v>45043</v>
      </c>
      <c r="E5" s="5">
        <v>0.57638888888888895</v>
      </c>
      <c r="F5" s="1" t="s">
        <v>32</v>
      </c>
      <c r="G5" s="7" t="s">
        <v>33</v>
      </c>
      <c r="H5" s="1">
        <v>9</v>
      </c>
      <c r="I5" s="1" t="s">
        <v>36</v>
      </c>
      <c r="J5" s="14" t="s">
        <v>410</v>
      </c>
      <c r="K5" s="1" t="s">
        <v>20</v>
      </c>
      <c r="L5" s="1" t="s">
        <v>267</v>
      </c>
    </row>
    <row r="6" spans="1:13" hidden="1" x14ac:dyDescent="0.3">
      <c r="A6" s="3">
        <v>1</v>
      </c>
      <c r="B6" s="3" t="s">
        <v>196</v>
      </c>
      <c r="C6" s="3" t="s">
        <v>197</v>
      </c>
      <c r="D6" s="4">
        <v>45043</v>
      </c>
      <c r="E6" s="5">
        <v>0.57638888888888895</v>
      </c>
      <c r="F6" s="1" t="s">
        <v>21</v>
      </c>
      <c r="G6" s="7" t="s">
        <v>22</v>
      </c>
      <c r="H6" s="1">
        <v>1</v>
      </c>
      <c r="I6" s="1" t="s">
        <v>48</v>
      </c>
      <c r="J6" s="14" t="s">
        <v>410</v>
      </c>
      <c r="K6" s="1" t="s">
        <v>20</v>
      </c>
      <c r="L6" s="1" t="s">
        <v>265</v>
      </c>
    </row>
    <row r="7" spans="1:13" hidden="1" x14ac:dyDescent="0.3">
      <c r="A7" s="3">
        <v>2</v>
      </c>
      <c r="B7" s="3" t="s">
        <v>197</v>
      </c>
      <c r="C7" s="3" t="s">
        <v>198</v>
      </c>
      <c r="D7" s="4">
        <v>45043</v>
      </c>
      <c r="E7" s="5">
        <v>0.61111111111111105</v>
      </c>
      <c r="F7" s="1" t="s">
        <v>62</v>
      </c>
      <c r="G7" s="7" t="s">
        <v>63</v>
      </c>
      <c r="H7" s="1">
        <v>2</v>
      </c>
      <c r="I7" s="1" t="s">
        <v>48</v>
      </c>
      <c r="J7" s="14" t="s">
        <v>410</v>
      </c>
      <c r="K7" s="1" t="s">
        <v>20</v>
      </c>
    </row>
    <row r="8" spans="1:13" hidden="1" x14ac:dyDescent="0.3">
      <c r="A8" s="3">
        <v>2</v>
      </c>
      <c r="B8" s="3" t="s">
        <v>197</v>
      </c>
      <c r="C8" s="3" t="s">
        <v>198</v>
      </c>
      <c r="D8" s="4">
        <v>45043</v>
      </c>
      <c r="E8" s="5">
        <v>0.61111111111111105</v>
      </c>
      <c r="F8" s="1" t="s">
        <v>32</v>
      </c>
      <c r="G8" s="7" t="s">
        <v>33</v>
      </c>
      <c r="H8" s="1">
        <v>1</v>
      </c>
      <c r="I8" s="1" t="s">
        <v>48</v>
      </c>
      <c r="J8" s="14" t="s">
        <v>410</v>
      </c>
      <c r="K8" s="1" t="s">
        <v>20</v>
      </c>
      <c r="L8" s="1" t="s">
        <v>266</v>
      </c>
    </row>
    <row r="9" spans="1:13" hidden="1" x14ac:dyDescent="0.3">
      <c r="A9" s="3">
        <v>2</v>
      </c>
      <c r="B9" s="3" t="s">
        <v>197</v>
      </c>
      <c r="C9" s="3" t="s">
        <v>198</v>
      </c>
      <c r="D9" s="4">
        <v>45043</v>
      </c>
      <c r="E9" s="5">
        <v>0.61111111111111105</v>
      </c>
      <c r="F9" s="1" t="s">
        <v>71</v>
      </c>
      <c r="G9" s="7" t="s">
        <v>70</v>
      </c>
      <c r="H9" s="1">
        <v>2</v>
      </c>
      <c r="I9" s="1" t="s">
        <v>48</v>
      </c>
      <c r="J9" s="14" t="s">
        <v>410</v>
      </c>
      <c r="K9" s="1" t="s">
        <v>20</v>
      </c>
    </row>
    <row r="10" spans="1:13" x14ac:dyDescent="0.3">
      <c r="A10" s="3">
        <v>3</v>
      </c>
      <c r="B10" s="3" t="s">
        <v>199</v>
      </c>
      <c r="C10" s="3" t="s">
        <v>200</v>
      </c>
      <c r="D10" s="4">
        <v>45043</v>
      </c>
      <c r="E10" s="5">
        <v>0.72916666666666663</v>
      </c>
      <c r="F10" s="1" t="s">
        <v>21</v>
      </c>
      <c r="G10" s="7" t="s">
        <v>22</v>
      </c>
      <c r="H10" s="1">
        <v>3</v>
      </c>
      <c r="I10" s="1" t="s">
        <v>36</v>
      </c>
      <c r="J10" s="14" t="s">
        <v>411</v>
      </c>
      <c r="K10" s="1" t="s">
        <v>20</v>
      </c>
    </row>
    <row r="11" spans="1:13" x14ac:dyDescent="0.3">
      <c r="A11" s="3">
        <v>3</v>
      </c>
      <c r="B11" s="3" t="s">
        <v>199</v>
      </c>
      <c r="C11" s="3" t="s">
        <v>200</v>
      </c>
      <c r="D11" s="4">
        <v>45043</v>
      </c>
      <c r="E11" s="5">
        <v>0.72916666666666663</v>
      </c>
      <c r="F11" s="1" t="s">
        <v>62</v>
      </c>
      <c r="G11" s="7" t="s">
        <v>63</v>
      </c>
      <c r="H11" s="1">
        <v>4</v>
      </c>
      <c r="I11" s="1" t="s">
        <v>36</v>
      </c>
      <c r="J11" s="14" t="s">
        <v>411</v>
      </c>
      <c r="K11" s="1" t="s">
        <v>20</v>
      </c>
    </row>
    <row r="12" spans="1:13" x14ac:dyDescent="0.3">
      <c r="A12" s="3">
        <v>3</v>
      </c>
      <c r="B12" s="3" t="s">
        <v>199</v>
      </c>
      <c r="C12" s="3" t="s">
        <v>200</v>
      </c>
      <c r="D12" s="4">
        <v>45043</v>
      </c>
      <c r="E12" s="5">
        <v>0.72916666666666663</v>
      </c>
      <c r="F12" s="1" t="s">
        <v>207</v>
      </c>
      <c r="G12" s="7" t="s">
        <v>194</v>
      </c>
      <c r="H12" s="1">
        <v>1</v>
      </c>
      <c r="I12" s="1" t="s">
        <v>36</v>
      </c>
      <c r="J12" s="14" t="s">
        <v>411</v>
      </c>
      <c r="K12" s="1" t="s">
        <v>20</v>
      </c>
      <c r="L12" s="1" t="s">
        <v>270</v>
      </c>
    </row>
    <row r="13" spans="1:13" x14ac:dyDescent="0.3">
      <c r="A13" s="3">
        <v>3</v>
      </c>
      <c r="B13" s="3" t="s">
        <v>199</v>
      </c>
      <c r="C13" s="3" t="s">
        <v>200</v>
      </c>
      <c r="D13" s="4">
        <v>45043</v>
      </c>
      <c r="E13" s="5">
        <v>0.72916666666666663</v>
      </c>
      <c r="F13" s="1" t="s">
        <v>92</v>
      </c>
      <c r="G13" s="7" t="s">
        <v>85</v>
      </c>
      <c r="H13" s="1">
        <v>1</v>
      </c>
      <c r="I13" s="1" t="s">
        <v>36</v>
      </c>
      <c r="J13" s="14" t="s">
        <v>411</v>
      </c>
      <c r="K13" s="1" t="s">
        <v>20</v>
      </c>
    </row>
    <row r="14" spans="1:13" hidden="1" x14ac:dyDescent="0.3">
      <c r="A14" s="3">
        <v>4</v>
      </c>
      <c r="B14" s="3" t="s">
        <v>196</v>
      </c>
      <c r="C14" s="3" t="s">
        <v>197</v>
      </c>
      <c r="D14" s="4">
        <v>45043</v>
      </c>
      <c r="E14" s="5">
        <v>0.80555555555555547</v>
      </c>
      <c r="F14" s="1" t="s">
        <v>89</v>
      </c>
      <c r="G14" s="7" t="s">
        <v>83</v>
      </c>
      <c r="H14" s="1">
        <v>9</v>
      </c>
      <c r="I14" s="1" t="s">
        <v>48</v>
      </c>
      <c r="J14" s="14" t="s">
        <v>410</v>
      </c>
      <c r="K14" s="1" t="s">
        <v>20</v>
      </c>
    </row>
    <row r="15" spans="1:13" hidden="1" x14ac:dyDescent="0.3">
      <c r="A15" s="3">
        <v>4</v>
      </c>
      <c r="B15" s="3" t="s">
        <v>196</v>
      </c>
      <c r="C15" s="3" t="s">
        <v>197</v>
      </c>
      <c r="D15" s="4">
        <v>45043</v>
      </c>
      <c r="E15" s="5">
        <v>0.80555555555555547</v>
      </c>
      <c r="F15" s="1" t="s">
        <v>32</v>
      </c>
      <c r="G15" s="7" t="s">
        <v>33</v>
      </c>
      <c r="H15" s="1">
        <v>2</v>
      </c>
      <c r="I15" s="1" t="s">
        <v>48</v>
      </c>
      <c r="J15" s="14" t="s">
        <v>410</v>
      </c>
      <c r="K15" s="1" t="s">
        <v>20</v>
      </c>
    </row>
    <row r="16" spans="1:13" hidden="1" x14ac:dyDescent="0.3">
      <c r="A16" s="3">
        <v>4</v>
      </c>
      <c r="B16" s="3" t="s">
        <v>196</v>
      </c>
      <c r="C16" s="3" t="s">
        <v>197</v>
      </c>
      <c r="D16" s="4">
        <v>45043</v>
      </c>
      <c r="E16" s="5">
        <v>0.80555555555555547</v>
      </c>
      <c r="F16" s="1" t="s">
        <v>21</v>
      </c>
      <c r="G16" s="7" t="s">
        <v>22</v>
      </c>
      <c r="H16" s="1">
        <v>1</v>
      </c>
      <c r="I16" s="1" t="s">
        <v>36</v>
      </c>
      <c r="J16" s="14" t="s">
        <v>410</v>
      </c>
      <c r="K16" s="1" t="s">
        <v>20</v>
      </c>
    </row>
    <row r="17" spans="1:12" hidden="1" x14ac:dyDescent="0.3">
      <c r="A17" s="3">
        <v>4</v>
      </c>
      <c r="B17" s="3" t="s">
        <v>196</v>
      </c>
      <c r="C17" s="3" t="s">
        <v>197</v>
      </c>
      <c r="D17" s="4">
        <v>45043</v>
      </c>
      <c r="E17" s="5">
        <v>0.80555555555555547</v>
      </c>
      <c r="F17" s="1" t="s">
        <v>90</v>
      </c>
      <c r="G17" s="7" t="s">
        <v>60</v>
      </c>
      <c r="H17" s="1">
        <v>30</v>
      </c>
      <c r="I17" s="1" t="s">
        <v>36</v>
      </c>
      <c r="J17" s="14" t="s">
        <v>410</v>
      </c>
      <c r="K17" s="1" t="s">
        <v>20</v>
      </c>
    </row>
    <row r="18" spans="1:12" hidden="1" x14ac:dyDescent="0.3">
      <c r="A18" s="3">
        <v>5</v>
      </c>
      <c r="B18" s="3" t="s">
        <v>197</v>
      </c>
      <c r="C18" s="3" t="s">
        <v>198</v>
      </c>
      <c r="D18" s="4">
        <v>45043</v>
      </c>
      <c r="E18" s="5">
        <v>0.86111111111111116</v>
      </c>
      <c r="F18" s="1" t="s">
        <v>62</v>
      </c>
      <c r="G18" s="7" t="s">
        <v>63</v>
      </c>
      <c r="H18" s="1">
        <v>6</v>
      </c>
      <c r="I18" s="1" t="s">
        <v>36</v>
      </c>
      <c r="J18" s="14" t="s">
        <v>410</v>
      </c>
      <c r="K18" s="1" t="s">
        <v>20</v>
      </c>
    </row>
    <row r="19" spans="1:12" hidden="1" x14ac:dyDescent="0.3">
      <c r="A19" s="3">
        <v>5</v>
      </c>
      <c r="B19" s="3" t="s">
        <v>197</v>
      </c>
      <c r="C19" s="3" t="s">
        <v>198</v>
      </c>
      <c r="D19" s="4">
        <v>45043</v>
      </c>
      <c r="E19" s="5">
        <v>0.86111111111111116</v>
      </c>
      <c r="F19" s="1" t="s">
        <v>53</v>
      </c>
      <c r="G19" s="7" t="s">
        <v>54</v>
      </c>
      <c r="H19" s="1">
        <v>3</v>
      </c>
      <c r="I19" s="1" t="s">
        <v>48</v>
      </c>
      <c r="J19" s="14" t="s">
        <v>410</v>
      </c>
      <c r="K19" s="1" t="s">
        <v>20</v>
      </c>
    </row>
    <row r="20" spans="1:12" hidden="1" x14ac:dyDescent="0.3">
      <c r="A20" s="3">
        <v>5</v>
      </c>
      <c r="B20" s="3" t="s">
        <v>197</v>
      </c>
      <c r="C20" s="3" t="s">
        <v>198</v>
      </c>
      <c r="D20" s="4">
        <v>45043</v>
      </c>
      <c r="E20" s="5">
        <v>0.86111111111111116</v>
      </c>
      <c r="F20" s="1" t="s">
        <v>37</v>
      </c>
      <c r="G20" s="7" t="s">
        <v>38</v>
      </c>
      <c r="H20" s="1">
        <v>8</v>
      </c>
      <c r="I20" s="1" t="s">
        <v>36</v>
      </c>
      <c r="J20" s="14" t="s">
        <v>410</v>
      </c>
      <c r="K20" s="1" t="s">
        <v>20</v>
      </c>
    </row>
    <row r="21" spans="1:12" hidden="1" x14ac:dyDescent="0.3">
      <c r="A21" s="3">
        <v>5</v>
      </c>
      <c r="B21" s="3" t="s">
        <v>197</v>
      </c>
      <c r="C21" s="3" t="s">
        <v>198</v>
      </c>
      <c r="D21" s="4">
        <v>45043</v>
      </c>
      <c r="E21" s="5">
        <v>0.86111111111111116</v>
      </c>
      <c r="F21" s="1" t="s">
        <v>21</v>
      </c>
      <c r="G21" s="7" t="s">
        <v>22</v>
      </c>
      <c r="H21" s="1">
        <v>2</v>
      </c>
      <c r="I21" s="1" t="s">
        <v>36</v>
      </c>
      <c r="J21" s="14" t="s">
        <v>410</v>
      </c>
      <c r="K21" s="1" t="s">
        <v>20</v>
      </c>
    </row>
    <row r="22" spans="1:12" hidden="1" x14ac:dyDescent="0.3">
      <c r="A22" s="3">
        <v>6</v>
      </c>
      <c r="B22" s="3" t="s">
        <v>201</v>
      </c>
      <c r="C22" s="3" t="s">
        <v>202</v>
      </c>
      <c r="D22" s="4">
        <v>45053</v>
      </c>
      <c r="E22" s="5">
        <v>0.78819444444444453</v>
      </c>
      <c r="F22" s="1" t="s">
        <v>37</v>
      </c>
      <c r="G22" s="7" t="s">
        <v>38</v>
      </c>
      <c r="H22" s="1">
        <v>2</v>
      </c>
      <c r="I22" s="1" t="s">
        <v>36</v>
      </c>
      <c r="J22" s="14" t="s">
        <v>410</v>
      </c>
      <c r="K22" s="1" t="s">
        <v>20</v>
      </c>
    </row>
    <row r="23" spans="1:12" hidden="1" x14ac:dyDescent="0.3">
      <c r="A23" s="3">
        <v>6</v>
      </c>
      <c r="B23" s="3" t="s">
        <v>201</v>
      </c>
      <c r="C23" s="3" t="s">
        <v>202</v>
      </c>
      <c r="D23" s="4">
        <v>45053</v>
      </c>
      <c r="E23" s="5">
        <v>0.78819444444444453</v>
      </c>
      <c r="F23" s="1" t="s">
        <v>90</v>
      </c>
      <c r="G23" s="7" t="s">
        <v>60</v>
      </c>
      <c r="H23" s="1">
        <v>60</v>
      </c>
      <c r="I23" s="1" t="s">
        <v>48</v>
      </c>
      <c r="J23" s="14" t="s">
        <v>410</v>
      </c>
      <c r="K23" s="1" t="s">
        <v>20</v>
      </c>
    </row>
    <row r="24" spans="1:12" hidden="1" x14ac:dyDescent="0.3">
      <c r="A24" s="3">
        <v>6</v>
      </c>
      <c r="B24" s="3" t="s">
        <v>201</v>
      </c>
      <c r="C24" s="3" t="s">
        <v>202</v>
      </c>
      <c r="D24" s="4">
        <v>45053</v>
      </c>
      <c r="E24" s="5">
        <v>0.78819444444444453</v>
      </c>
      <c r="F24" s="1" t="s">
        <v>155</v>
      </c>
      <c r="G24" s="7" t="s">
        <v>151</v>
      </c>
      <c r="H24" s="1">
        <v>3</v>
      </c>
      <c r="I24" s="1" t="s">
        <v>48</v>
      </c>
      <c r="J24" s="14" t="s">
        <v>410</v>
      </c>
      <c r="K24" s="1" t="s">
        <v>20</v>
      </c>
      <c r="L24" s="1" t="s">
        <v>269</v>
      </c>
    </row>
    <row r="25" spans="1:12" hidden="1" x14ac:dyDescent="0.3">
      <c r="A25" s="3">
        <v>6</v>
      </c>
      <c r="B25" s="3" t="s">
        <v>201</v>
      </c>
      <c r="C25" s="3" t="s">
        <v>202</v>
      </c>
      <c r="D25" s="4">
        <v>45053</v>
      </c>
      <c r="E25" s="5">
        <v>0.78819444444444453</v>
      </c>
      <c r="F25" s="1" t="s">
        <v>75</v>
      </c>
      <c r="G25" s="7" t="s">
        <v>149</v>
      </c>
      <c r="H25" s="1">
        <v>4</v>
      </c>
      <c r="I25" s="1" t="s">
        <v>48</v>
      </c>
      <c r="J25" s="14" t="s">
        <v>410</v>
      </c>
      <c r="K25" s="1" t="s">
        <v>20</v>
      </c>
      <c r="L25" s="1" t="s">
        <v>268</v>
      </c>
    </row>
    <row r="26" spans="1:12" hidden="1" x14ac:dyDescent="0.3">
      <c r="A26" s="3">
        <v>6</v>
      </c>
      <c r="B26" s="3" t="s">
        <v>201</v>
      </c>
      <c r="C26" s="3" t="s">
        <v>202</v>
      </c>
      <c r="D26" s="4">
        <v>45053</v>
      </c>
      <c r="E26" s="5">
        <v>0.78819444444444453</v>
      </c>
      <c r="F26" s="1" t="s">
        <v>55</v>
      </c>
      <c r="G26" s="7" t="s">
        <v>56</v>
      </c>
      <c r="H26" s="1">
        <v>12</v>
      </c>
      <c r="I26" s="1" t="s">
        <v>48</v>
      </c>
      <c r="J26" s="14" t="s">
        <v>410</v>
      </c>
      <c r="K26" s="1" t="s">
        <v>20</v>
      </c>
    </row>
    <row r="27" spans="1:12" hidden="1" x14ac:dyDescent="0.3">
      <c r="A27" s="3">
        <v>6</v>
      </c>
      <c r="B27" s="3" t="s">
        <v>201</v>
      </c>
      <c r="C27" s="3" t="s">
        <v>202</v>
      </c>
      <c r="D27" s="4">
        <v>45053</v>
      </c>
      <c r="E27" s="5">
        <v>0.78819444444444453</v>
      </c>
      <c r="F27" s="1" t="s">
        <v>92</v>
      </c>
      <c r="G27" s="7" t="s">
        <v>85</v>
      </c>
      <c r="H27" s="1">
        <v>1</v>
      </c>
      <c r="I27" s="1" t="s">
        <v>36</v>
      </c>
      <c r="J27" s="14" t="s">
        <v>410</v>
      </c>
      <c r="K27" s="1" t="s">
        <v>20</v>
      </c>
    </row>
    <row r="28" spans="1:12" hidden="1" x14ac:dyDescent="0.3">
      <c r="A28" s="3">
        <v>7</v>
      </c>
      <c r="B28" s="3" t="s">
        <v>202</v>
      </c>
      <c r="C28" s="3" t="s">
        <v>199</v>
      </c>
      <c r="D28" s="4">
        <v>45053</v>
      </c>
      <c r="E28" s="5">
        <v>0.84027777777777779</v>
      </c>
      <c r="F28" s="1" t="s">
        <v>208</v>
      </c>
      <c r="G28" s="7" t="s">
        <v>195</v>
      </c>
      <c r="H28" s="1">
        <v>1</v>
      </c>
      <c r="I28" s="1" t="s">
        <v>36</v>
      </c>
      <c r="J28" s="14" t="s">
        <v>410</v>
      </c>
      <c r="K28" s="1" t="s">
        <v>20</v>
      </c>
      <c r="L28" s="1" t="s">
        <v>271</v>
      </c>
    </row>
    <row r="29" spans="1:12" hidden="1" x14ac:dyDescent="0.3">
      <c r="A29" s="3">
        <v>7</v>
      </c>
      <c r="B29" s="3" t="s">
        <v>202</v>
      </c>
      <c r="C29" s="3" t="s">
        <v>199</v>
      </c>
      <c r="D29" s="4">
        <v>45053</v>
      </c>
      <c r="E29" s="5">
        <v>0.84027777777777779</v>
      </c>
      <c r="F29" s="1" t="s">
        <v>64</v>
      </c>
      <c r="G29" s="7" t="s">
        <v>65</v>
      </c>
      <c r="H29" s="1">
        <v>1</v>
      </c>
      <c r="I29" s="1" t="s">
        <v>36</v>
      </c>
      <c r="J29" s="14" t="s">
        <v>410</v>
      </c>
      <c r="K29" s="1" t="s">
        <v>20</v>
      </c>
    </row>
    <row r="30" spans="1:12" hidden="1" x14ac:dyDescent="0.3">
      <c r="A30" s="3">
        <v>7</v>
      </c>
      <c r="B30" s="3" t="s">
        <v>202</v>
      </c>
      <c r="C30" s="3" t="s">
        <v>199</v>
      </c>
      <c r="D30" s="4">
        <v>45053</v>
      </c>
      <c r="E30" s="5">
        <v>0.84027777777777779</v>
      </c>
      <c r="F30" s="1" t="s">
        <v>37</v>
      </c>
      <c r="G30" s="7" t="s">
        <v>38</v>
      </c>
      <c r="H30" s="1">
        <v>4</v>
      </c>
      <c r="I30" s="1" t="s">
        <v>36</v>
      </c>
      <c r="J30" s="14" t="s">
        <v>410</v>
      </c>
      <c r="K30" s="1" t="s">
        <v>20</v>
      </c>
    </row>
    <row r="31" spans="1:12" hidden="1" x14ac:dyDescent="0.3">
      <c r="A31" s="3">
        <v>7</v>
      </c>
      <c r="B31" s="3" t="s">
        <v>202</v>
      </c>
      <c r="C31" s="3" t="s">
        <v>199</v>
      </c>
      <c r="D31" s="4">
        <v>45053</v>
      </c>
      <c r="E31" s="5">
        <v>0.84027777777777779</v>
      </c>
      <c r="F31" s="1" t="s">
        <v>21</v>
      </c>
      <c r="G31" s="7" t="s">
        <v>22</v>
      </c>
      <c r="H31" s="1">
        <v>1</v>
      </c>
      <c r="I31" s="1" t="s">
        <v>36</v>
      </c>
      <c r="J31" s="14" t="s">
        <v>410</v>
      </c>
      <c r="K31" s="1" t="s">
        <v>20</v>
      </c>
    </row>
    <row r="32" spans="1:12" hidden="1" x14ac:dyDescent="0.3">
      <c r="A32" s="3">
        <v>7</v>
      </c>
      <c r="B32" s="3" t="s">
        <v>202</v>
      </c>
      <c r="C32" s="3" t="s">
        <v>199</v>
      </c>
      <c r="D32" s="4">
        <v>45053</v>
      </c>
      <c r="E32" s="5">
        <v>0.84027777777777779</v>
      </c>
      <c r="F32" s="1" t="s">
        <v>62</v>
      </c>
      <c r="G32" s="7" t="s">
        <v>63</v>
      </c>
      <c r="H32" s="1">
        <v>1</v>
      </c>
      <c r="I32" s="1" t="s">
        <v>36</v>
      </c>
      <c r="J32" s="14" t="s">
        <v>410</v>
      </c>
      <c r="K32" s="1" t="s">
        <v>20</v>
      </c>
      <c r="L32" s="1" t="s">
        <v>272</v>
      </c>
    </row>
    <row r="33" spans="1:12" hidden="1" x14ac:dyDescent="0.3">
      <c r="A33" s="3">
        <v>8</v>
      </c>
      <c r="B33" s="3" t="s">
        <v>203</v>
      </c>
      <c r="C33" s="3" t="s">
        <v>204</v>
      </c>
      <c r="D33" s="4">
        <v>45054</v>
      </c>
      <c r="E33" s="5">
        <v>0.33333333333333331</v>
      </c>
      <c r="F33" s="1" t="s">
        <v>17</v>
      </c>
      <c r="G33" s="7" t="s">
        <v>18</v>
      </c>
      <c r="H33" s="1">
        <v>3</v>
      </c>
      <c r="I33" s="1" t="s">
        <v>209</v>
      </c>
      <c r="J33" s="14" t="s">
        <v>410</v>
      </c>
      <c r="K33" s="1" t="s">
        <v>20</v>
      </c>
    </row>
    <row r="34" spans="1:12" hidden="1" x14ac:dyDescent="0.3">
      <c r="A34" s="3">
        <v>8</v>
      </c>
      <c r="B34" s="3" t="s">
        <v>203</v>
      </c>
      <c r="C34" s="3" t="s">
        <v>204</v>
      </c>
      <c r="D34" s="4">
        <v>45054</v>
      </c>
      <c r="E34" s="5">
        <v>0.33333333333333331</v>
      </c>
      <c r="F34" s="1" t="s">
        <v>71</v>
      </c>
      <c r="G34" s="7" t="s">
        <v>70</v>
      </c>
      <c r="H34" s="1">
        <v>4</v>
      </c>
      <c r="I34" s="1" t="s">
        <v>209</v>
      </c>
      <c r="J34" s="14" t="s">
        <v>410</v>
      </c>
      <c r="K34" s="1" t="s">
        <v>20</v>
      </c>
    </row>
    <row r="35" spans="1:12" hidden="1" x14ac:dyDescent="0.3">
      <c r="A35" s="3">
        <v>8</v>
      </c>
      <c r="B35" s="3" t="s">
        <v>203</v>
      </c>
      <c r="C35" s="3" t="s">
        <v>204</v>
      </c>
      <c r="D35" s="4">
        <v>45054</v>
      </c>
      <c r="E35" s="5">
        <v>0.33333333333333331</v>
      </c>
      <c r="F35" s="1" t="s">
        <v>32</v>
      </c>
      <c r="G35" s="7" t="s">
        <v>33</v>
      </c>
      <c r="H35" s="1">
        <v>5</v>
      </c>
      <c r="I35" s="1" t="s">
        <v>209</v>
      </c>
      <c r="J35" s="14" t="s">
        <v>410</v>
      </c>
      <c r="K35" s="1" t="s">
        <v>20</v>
      </c>
      <c r="L35" s="1" t="s">
        <v>273</v>
      </c>
    </row>
    <row r="36" spans="1:12" hidden="1" x14ac:dyDescent="0.3">
      <c r="A36" s="3">
        <v>8</v>
      </c>
      <c r="B36" s="3" t="s">
        <v>203</v>
      </c>
      <c r="C36" s="3" t="s">
        <v>204</v>
      </c>
      <c r="D36" s="4">
        <v>45054</v>
      </c>
      <c r="E36" s="5">
        <v>0.33333333333333331</v>
      </c>
      <c r="F36" s="1" t="s">
        <v>89</v>
      </c>
      <c r="G36" s="7" t="s">
        <v>83</v>
      </c>
      <c r="H36" s="1">
        <v>1</v>
      </c>
      <c r="I36" s="1" t="s">
        <v>209</v>
      </c>
      <c r="J36" s="14" t="s">
        <v>410</v>
      </c>
      <c r="K36" s="1" t="s">
        <v>20</v>
      </c>
      <c r="L36" s="1" t="s">
        <v>274</v>
      </c>
    </row>
    <row r="37" spans="1:12" hidden="1" x14ac:dyDescent="0.3">
      <c r="A37" s="3">
        <v>9</v>
      </c>
      <c r="B37" s="3" t="s">
        <v>205</v>
      </c>
      <c r="C37" s="3" t="s">
        <v>206</v>
      </c>
      <c r="D37" s="4">
        <v>45054</v>
      </c>
      <c r="E37" s="5">
        <v>0.38541666666666669</v>
      </c>
      <c r="F37" s="1" t="s">
        <v>92</v>
      </c>
      <c r="G37" s="7" t="s">
        <v>85</v>
      </c>
      <c r="H37" s="1">
        <v>2</v>
      </c>
      <c r="I37" s="1" t="s">
        <v>209</v>
      </c>
      <c r="J37" s="14" t="s">
        <v>410</v>
      </c>
      <c r="K37" s="1" t="s">
        <v>20</v>
      </c>
    </row>
    <row r="38" spans="1:12" hidden="1" x14ac:dyDescent="0.3">
      <c r="A38" s="3">
        <v>9</v>
      </c>
      <c r="B38" s="3" t="s">
        <v>205</v>
      </c>
      <c r="C38" s="3" t="s">
        <v>206</v>
      </c>
      <c r="D38" s="4">
        <v>45054</v>
      </c>
      <c r="E38" s="5">
        <v>0.38541666666666669</v>
      </c>
      <c r="F38" s="1" t="s">
        <v>62</v>
      </c>
      <c r="G38" s="7" t="s">
        <v>63</v>
      </c>
      <c r="H38" s="1">
        <v>2</v>
      </c>
      <c r="I38" s="1" t="s">
        <v>209</v>
      </c>
      <c r="J38" s="14" t="s">
        <v>410</v>
      </c>
      <c r="K38" s="1" t="s">
        <v>20</v>
      </c>
      <c r="L38" s="1" t="s">
        <v>275</v>
      </c>
    </row>
    <row r="39" spans="1:12" hidden="1" x14ac:dyDescent="0.3">
      <c r="A39" s="3">
        <v>9</v>
      </c>
      <c r="B39" s="3" t="s">
        <v>205</v>
      </c>
      <c r="C39" s="3" t="s">
        <v>206</v>
      </c>
      <c r="D39" s="4">
        <v>45054</v>
      </c>
      <c r="E39" s="5">
        <v>0.38541666666666669</v>
      </c>
      <c r="F39" s="1" t="s">
        <v>71</v>
      </c>
      <c r="G39" s="7" t="s">
        <v>70</v>
      </c>
      <c r="H39" s="1">
        <v>3</v>
      </c>
      <c r="I39" s="1" t="s">
        <v>209</v>
      </c>
      <c r="J39" s="14" t="s">
        <v>410</v>
      </c>
      <c r="K3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0768-53EA-448F-B0CD-8FFDC55AB900}">
  <dimension ref="A1:M21"/>
  <sheetViews>
    <sheetView topLeftCell="B1" workbookViewId="0">
      <selection activeCell="A4" sqref="A4:M21"/>
    </sheetView>
  </sheetViews>
  <sheetFormatPr defaultColWidth="11.44140625" defaultRowHeight="15.6" x14ac:dyDescent="0.3"/>
  <cols>
    <col min="1" max="1" width="15.88671875" style="3" bestFit="1" customWidth="1"/>
    <col min="2" max="3" width="22.44140625" style="1" bestFit="1" customWidth="1"/>
    <col min="4" max="4" width="20.109375" style="1" bestFit="1" customWidth="1"/>
    <col min="5" max="5" width="7.6640625" style="3" customWidth="1"/>
    <col min="6" max="6" width="34.33203125" style="1" bestFit="1" customWidth="1"/>
    <col min="7" max="7" width="29.109375" style="1" bestFit="1" customWidth="1"/>
    <col min="8" max="8" width="4" style="1" customWidth="1"/>
    <col min="9" max="10" width="44.77734375" style="1" customWidth="1"/>
    <col min="11" max="11" width="31.5546875" style="1" customWidth="1"/>
    <col min="12" max="12" width="11" style="1" customWidth="1"/>
    <col min="13" max="13" width="33.44140625" style="1" customWidth="1"/>
    <col min="14" max="16384" width="11.44140625" style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3" x14ac:dyDescent="0.3">
      <c r="A2" s="3" t="s">
        <v>13</v>
      </c>
      <c r="B2" s="3" t="s">
        <v>223</v>
      </c>
      <c r="C2" s="3"/>
      <c r="D2" s="3" t="s">
        <v>16</v>
      </c>
      <c r="H2" s="3"/>
    </row>
    <row r="3" spans="1:13" x14ac:dyDescent="0.3">
      <c r="B3" s="3"/>
      <c r="C3" s="3"/>
      <c r="D3" s="3"/>
      <c r="H3" s="3"/>
    </row>
    <row r="4" spans="1:13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8" t="s">
        <v>407</v>
      </c>
      <c r="K4" s="8" t="s">
        <v>10</v>
      </c>
      <c r="L4" s="8" t="s">
        <v>11</v>
      </c>
      <c r="M4" s="8" t="s">
        <v>12</v>
      </c>
    </row>
    <row r="5" spans="1:13" x14ac:dyDescent="0.3">
      <c r="A5" s="3">
        <v>1</v>
      </c>
      <c r="B5" s="3" t="s">
        <v>224</v>
      </c>
      <c r="C5" s="3" t="s">
        <v>225</v>
      </c>
      <c r="D5" s="4">
        <v>45046</v>
      </c>
      <c r="E5" s="5">
        <v>0.69444444444444453</v>
      </c>
      <c r="F5" s="1" t="s">
        <v>17</v>
      </c>
      <c r="G5" s="7" t="s">
        <v>18</v>
      </c>
      <c r="H5" s="1">
        <v>1</v>
      </c>
      <c r="I5" s="1" t="s">
        <v>36</v>
      </c>
      <c r="J5" s="14" t="s">
        <v>410</v>
      </c>
      <c r="K5" s="1" t="s">
        <v>20</v>
      </c>
    </row>
    <row r="6" spans="1:13" x14ac:dyDescent="0.3">
      <c r="A6" s="3">
        <v>1</v>
      </c>
      <c r="B6" s="3" t="s">
        <v>224</v>
      </c>
      <c r="C6" s="3" t="s">
        <v>225</v>
      </c>
      <c r="D6" s="4">
        <v>45046</v>
      </c>
      <c r="E6" s="5">
        <v>0.69444444444444453</v>
      </c>
      <c r="F6" s="1" t="s">
        <v>91</v>
      </c>
      <c r="G6" s="7" t="s">
        <v>84</v>
      </c>
      <c r="H6" s="1">
        <v>13</v>
      </c>
      <c r="I6" s="1" t="s">
        <v>48</v>
      </c>
      <c r="J6" s="14" t="s">
        <v>410</v>
      </c>
      <c r="K6" s="1" t="s">
        <v>20</v>
      </c>
    </row>
    <row r="7" spans="1:13" x14ac:dyDescent="0.3">
      <c r="A7" s="3">
        <v>1</v>
      </c>
      <c r="B7" s="3" t="s">
        <v>224</v>
      </c>
      <c r="C7" s="3" t="s">
        <v>225</v>
      </c>
      <c r="D7" s="4">
        <v>45046</v>
      </c>
      <c r="E7" s="5">
        <v>0.69444444444444453</v>
      </c>
      <c r="F7" s="1" t="s">
        <v>32</v>
      </c>
      <c r="G7" s="7" t="s">
        <v>33</v>
      </c>
      <c r="H7" s="1">
        <v>1</v>
      </c>
      <c r="I7" s="1" t="s">
        <v>48</v>
      </c>
      <c r="J7" s="14" t="s">
        <v>410</v>
      </c>
      <c r="K7" s="1" t="s">
        <v>20</v>
      </c>
    </row>
    <row r="8" spans="1:13" x14ac:dyDescent="0.3">
      <c r="A8" s="3">
        <v>2</v>
      </c>
      <c r="B8" s="1" t="s">
        <v>226</v>
      </c>
      <c r="C8" s="1" t="s">
        <v>227</v>
      </c>
      <c r="D8" s="4">
        <v>45046</v>
      </c>
      <c r="E8" s="5">
        <v>0.72916666666666663</v>
      </c>
      <c r="F8" s="1" t="s">
        <v>17</v>
      </c>
      <c r="G8" s="7" t="s">
        <v>18</v>
      </c>
      <c r="H8" s="1">
        <v>1</v>
      </c>
      <c r="I8" s="1" t="s">
        <v>36</v>
      </c>
      <c r="J8" s="14" t="s">
        <v>410</v>
      </c>
      <c r="K8" s="1" t="s">
        <v>20</v>
      </c>
    </row>
    <row r="9" spans="1:13" x14ac:dyDescent="0.3">
      <c r="A9" s="3">
        <v>2</v>
      </c>
      <c r="B9" s="1" t="s">
        <v>226</v>
      </c>
      <c r="C9" s="1" t="s">
        <v>227</v>
      </c>
      <c r="D9" s="4">
        <v>45046</v>
      </c>
      <c r="E9" s="5">
        <v>0.72916666666666663</v>
      </c>
      <c r="F9" s="1" t="s">
        <v>37</v>
      </c>
      <c r="G9" s="7" t="s">
        <v>38</v>
      </c>
      <c r="H9" s="1">
        <v>4</v>
      </c>
      <c r="I9" s="1" t="s">
        <v>36</v>
      </c>
      <c r="J9" s="14" t="s">
        <v>410</v>
      </c>
      <c r="K9" s="1" t="s">
        <v>20</v>
      </c>
    </row>
    <row r="10" spans="1:13" x14ac:dyDescent="0.3">
      <c r="A10" s="3">
        <v>2</v>
      </c>
      <c r="B10" s="1" t="s">
        <v>226</v>
      </c>
      <c r="C10" s="1" t="s">
        <v>227</v>
      </c>
      <c r="D10" s="4">
        <v>45046</v>
      </c>
      <c r="E10" s="5">
        <v>0.72916666666666663</v>
      </c>
      <c r="F10" s="1" t="s">
        <v>40</v>
      </c>
      <c r="G10" s="7" t="s">
        <v>41</v>
      </c>
      <c r="H10" s="1">
        <v>1</v>
      </c>
      <c r="I10" s="1" t="s">
        <v>36</v>
      </c>
      <c r="J10" s="14" t="s">
        <v>410</v>
      </c>
      <c r="K10" s="1" t="s">
        <v>20</v>
      </c>
    </row>
    <row r="11" spans="1:13" x14ac:dyDescent="0.3">
      <c r="A11" s="3">
        <v>2</v>
      </c>
      <c r="B11" s="1" t="s">
        <v>226</v>
      </c>
      <c r="C11" s="1" t="s">
        <v>227</v>
      </c>
      <c r="D11" s="4">
        <v>45046</v>
      </c>
      <c r="E11" s="5">
        <v>0.72916666666666663</v>
      </c>
      <c r="F11" s="1" t="s">
        <v>28</v>
      </c>
      <c r="G11" s="7" t="s">
        <v>29</v>
      </c>
      <c r="H11" s="1">
        <v>2</v>
      </c>
      <c r="I11" s="1" t="s">
        <v>36</v>
      </c>
      <c r="J11" s="14" t="s">
        <v>410</v>
      </c>
      <c r="K11" s="1" t="s">
        <v>20</v>
      </c>
      <c r="L11" s="1" t="s">
        <v>243</v>
      </c>
    </row>
    <row r="12" spans="1:13" x14ac:dyDescent="0.3">
      <c r="A12" s="3">
        <v>2</v>
      </c>
      <c r="B12" s="1" t="s">
        <v>226</v>
      </c>
      <c r="C12" s="1" t="s">
        <v>227</v>
      </c>
      <c r="D12" s="4">
        <v>45046</v>
      </c>
      <c r="E12" s="5">
        <v>0.72916666666666663</v>
      </c>
      <c r="F12" s="1" t="s">
        <v>92</v>
      </c>
      <c r="G12" s="7" t="s">
        <v>85</v>
      </c>
      <c r="H12" s="1">
        <v>1</v>
      </c>
      <c r="I12" s="1" t="s">
        <v>36</v>
      </c>
      <c r="J12" s="14" t="s">
        <v>410</v>
      </c>
      <c r="K12" s="1" t="s">
        <v>20</v>
      </c>
    </row>
    <row r="13" spans="1:13" x14ac:dyDescent="0.3">
      <c r="A13" s="3">
        <v>3</v>
      </c>
      <c r="B13" s="1" t="s">
        <v>227</v>
      </c>
      <c r="C13" s="1" t="s">
        <v>228</v>
      </c>
      <c r="D13" s="4">
        <v>45046</v>
      </c>
      <c r="E13" s="5">
        <v>0.77777777777777779</v>
      </c>
      <c r="F13" s="1" t="s">
        <v>90</v>
      </c>
      <c r="G13" s="7" t="s">
        <v>60</v>
      </c>
      <c r="H13" s="1">
        <v>4</v>
      </c>
      <c r="I13" s="1" t="s">
        <v>36</v>
      </c>
      <c r="J13" s="14" t="s">
        <v>410</v>
      </c>
      <c r="K13" s="1" t="s">
        <v>20</v>
      </c>
    </row>
    <row r="14" spans="1:13" x14ac:dyDescent="0.3">
      <c r="A14" s="3">
        <v>3</v>
      </c>
      <c r="B14" s="1" t="s">
        <v>227</v>
      </c>
      <c r="C14" s="1" t="s">
        <v>228</v>
      </c>
      <c r="D14" s="4">
        <v>45046</v>
      </c>
      <c r="E14" s="5">
        <v>0.77777777777777779</v>
      </c>
      <c r="F14" s="1" t="s">
        <v>37</v>
      </c>
      <c r="G14" s="7" t="s">
        <v>38</v>
      </c>
      <c r="H14" s="1">
        <v>1</v>
      </c>
      <c r="I14" s="1" t="s">
        <v>36</v>
      </c>
      <c r="J14" s="14" t="s">
        <v>410</v>
      </c>
      <c r="K14" s="1" t="s">
        <v>20</v>
      </c>
    </row>
    <row r="15" spans="1:13" x14ac:dyDescent="0.3">
      <c r="A15" s="3">
        <v>3</v>
      </c>
      <c r="B15" s="1" t="s">
        <v>227</v>
      </c>
      <c r="C15" s="1" t="s">
        <v>228</v>
      </c>
      <c r="D15" s="4">
        <v>45046</v>
      </c>
      <c r="E15" s="5">
        <v>0.77777777777777779</v>
      </c>
      <c r="F15" s="1" t="s">
        <v>77</v>
      </c>
      <c r="G15" s="7" t="s">
        <v>74</v>
      </c>
      <c r="H15" s="1">
        <v>1</v>
      </c>
      <c r="I15" s="1" t="s">
        <v>36</v>
      </c>
      <c r="J15" s="14" t="s">
        <v>410</v>
      </c>
      <c r="K15" s="1" t="s">
        <v>20</v>
      </c>
      <c r="L15" s="1" t="s">
        <v>242</v>
      </c>
    </row>
    <row r="16" spans="1:13" x14ac:dyDescent="0.3">
      <c r="A16" s="3">
        <v>4</v>
      </c>
      <c r="B16" s="1" t="s">
        <v>229</v>
      </c>
      <c r="C16" s="1" t="s">
        <v>230</v>
      </c>
      <c r="D16" s="4">
        <v>45046</v>
      </c>
      <c r="E16" s="5">
        <v>0.84305555555555556</v>
      </c>
      <c r="F16" s="1" t="s">
        <v>17</v>
      </c>
      <c r="G16" s="7" t="s">
        <v>18</v>
      </c>
      <c r="H16" s="1">
        <v>1</v>
      </c>
      <c r="I16" s="1" t="s">
        <v>36</v>
      </c>
      <c r="J16" s="14" t="s">
        <v>410</v>
      </c>
      <c r="K16" s="1" t="s">
        <v>20</v>
      </c>
    </row>
    <row r="17" spans="1:12" x14ac:dyDescent="0.3">
      <c r="A17" s="3">
        <v>4</v>
      </c>
      <c r="B17" s="1" t="s">
        <v>229</v>
      </c>
      <c r="C17" s="1" t="s">
        <v>230</v>
      </c>
      <c r="D17" s="4">
        <v>45046</v>
      </c>
      <c r="E17" s="5">
        <v>0.84305555555555556</v>
      </c>
      <c r="F17" s="1" t="s">
        <v>28</v>
      </c>
      <c r="G17" s="7" t="s">
        <v>29</v>
      </c>
      <c r="H17" s="1">
        <v>2</v>
      </c>
      <c r="I17" s="1" t="s">
        <v>36</v>
      </c>
      <c r="J17" s="14" t="s">
        <v>410</v>
      </c>
      <c r="K17" s="1" t="s">
        <v>20</v>
      </c>
      <c r="L17" s="1" t="s">
        <v>244</v>
      </c>
    </row>
    <row r="18" spans="1:12" x14ac:dyDescent="0.3">
      <c r="A18" s="3">
        <v>4</v>
      </c>
      <c r="B18" s="1" t="s">
        <v>229</v>
      </c>
      <c r="C18" s="1" t="s">
        <v>230</v>
      </c>
      <c r="D18" s="4">
        <v>45046</v>
      </c>
      <c r="E18" s="5">
        <v>0.84305555555555556</v>
      </c>
      <c r="F18" s="1" t="s">
        <v>77</v>
      </c>
      <c r="G18" s="7" t="s">
        <v>74</v>
      </c>
      <c r="H18" s="1">
        <v>1</v>
      </c>
      <c r="I18" s="1" t="s">
        <v>36</v>
      </c>
      <c r="J18" s="14" t="s">
        <v>410</v>
      </c>
      <c r="K18" s="1" t="s">
        <v>20</v>
      </c>
    </row>
    <row r="19" spans="1:12" x14ac:dyDescent="0.3">
      <c r="A19" s="3">
        <v>4</v>
      </c>
      <c r="B19" s="1" t="s">
        <v>229</v>
      </c>
      <c r="C19" s="1" t="s">
        <v>230</v>
      </c>
      <c r="D19" s="4">
        <v>45046</v>
      </c>
      <c r="E19" s="5">
        <v>0.84305555555555556</v>
      </c>
      <c r="F19" s="1" t="s">
        <v>156</v>
      </c>
      <c r="G19" s="7" t="s">
        <v>72</v>
      </c>
      <c r="H19" s="1">
        <v>1</v>
      </c>
      <c r="I19" s="1" t="s">
        <v>36</v>
      </c>
      <c r="J19" s="14" t="s">
        <v>410</v>
      </c>
      <c r="K19" s="1" t="s">
        <v>20</v>
      </c>
    </row>
    <row r="20" spans="1:12" x14ac:dyDescent="0.3">
      <c r="A20" s="3">
        <v>4</v>
      </c>
      <c r="B20" s="1" t="s">
        <v>229</v>
      </c>
      <c r="C20" s="1" t="s">
        <v>230</v>
      </c>
      <c r="D20" s="4">
        <v>45046</v>
      </c>
      <c r="E20" s="5">
        <v>0.84305555555555556</v>
      </c>
      <c r="F20" s="1" t="s">
        <v>37</v>
      </c>
      <c r="G20" s="7" t="s">
        <v>38</v>
      </c>
      <c r="H20" s="1">
        <v>1</v>
      </c>
      <c r="I20" s="1" t="s">
        <v>36</v>
      </c>
      <c r="J20" s="14" t="s">
        <v>410</v>
      </c>
      <c r="K20" s="1" t="s">
        <v>20</v>
      </c>
    </row>
    <row r="21" spans="1:12" x14ac:dyDescent="0.3">
      <c r="A21" s="3">
        <v>4</v>
      </c>
      <c r="B21" s="1" t="s">
        <v>229</v>
      </c>
      <c r="C21" s="1" t="s">
        <v>230</v>
      </c>
      <c r="D21" s="4">
        <v>45046</v>
      </c>
      <c r="E21" s="5">
        <v>0.84305555555555556</v>
      </c>
      <c r="F21" s="1" t="s">
        <v>91</v>
      </c>
      <c r="G21" s="7" t="s">
        <v>84</v>
      </c>
      <c r="H21" s="1">
        <v>5</v>
      </c>
      <c r="I21" s="1" t="s">
        <v>36</v>
      </c>
      <c r="J21" s="14" t="s">
        <v>410</v>
      </c>
      <c r="K21" s="1" t="s">
        <v>20</v>
      </c>
      <c r="L21" s="1" t="s">
        <v>245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8CB1-A709-455D-BDE7-B3AE56604EEC}">
  <dimension ref="A1:M23"/>
  <sheetViews>
    <sheetView topLeftCell="B2" workbookViewId="0">
      <selection activeCell="G12" sqref="G12"/>
    </sheetView>
  </sheetViews>
  <sheetFormatPr defaultColWidth="11.44140625" defaultRowHeight="15.6" x14ac:dyDescent="0.3"/>
  <cols>
    <col min="1" max="1" width="15.88671875" style="1" bestFit="1" customWidth="1"/>
    <col min="2" max="3" width="22.44140625" style="1" bestFit="1" customWidth="1"/>
    <col min="4" max="4" width="20.33203125" style="1" bestFit="1" customWidth="1"/>
    <col min="5" max="5" width="7.6640625" style="1" customWidth="1"/>
    <col min="6" max="6" width="35.109375" style="1" bestFit="1" customWidth="1"/>
    <col min="7" max="7" width="27.109375" style="1" bestFit="1" customWidth="1"/>
    <col min="8" max="8" width="4" style="1" customWidth="1"/>
    <col min="9" max="9" width="45.77734375" style="1" bestFit="1" customWidth="1"/>
    <col min="10" max="10" width="45.77734375" style="13" customWidth="1"/>
    <col min="11" max="11" width="31.5546875" style="1" customWidth="1"/>
    <col min="12" max="12" width="11" style="1" customWidth="1"/>
    <col min="13" max="13" width="33.44140625" style="1" customWidth="1"/>
    <col min="14" max="16384" width="11.44140625" style="1"/>
  </cols>
  <sheetData>
    <row r="1" spans="1:13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3" x14ac:dyDescent="0.3">
      <c r="A2" s="3" t="s">
        <v>13</v>
      </c>
      <c r="B2" s="3" t="s">
        <v>212</v>
      </c>
      <c r="C2" s="3"/>
      <c r="D2" s="3" t="s">
        <v>16</v>
      </c>
      <c r="E2" s="3"/>
      <c r="H2" s="3"/>
    </row>
    <row r="3" spans="1:13" x14ac:dyDescent="0.3">
      <c r="A3" s="3"/>
      <c r="B3" s="3"/>
      <c r="C3" s="3"/>
      <c r="D3" s="3"/>
      <c r="E3" s="3"/>
      <c r="H3" s="3"/>
    </row>
    <row r="4" spans="1:13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15" t="s">
        <v>407</v>
      </c>
      <c r="K4" s="8" t="s">
        <v>10</v>
      </c>
      <c r="L4" s="8" t="s">
        <v>11</v>
      </c>
      <c r="M4" s="8" t="s">
        <v>12</v>
      </c>
    </row>
    <row r="5" spans="1:13" hidden="1" x14ac:dyDescent="0.3">
      <c r="A5" s="3">
        <v>1</v>
      </c>
      <c r="B5" s="3" t="s">
        <v>214</v>
      </c>
      <c r="C5" s="3" t="s">
        <v>215</v>
      </c>
      <c r="D5" s="4">
        <v>45044</v>
      </c>
      <c r="E5" s="6">
        <v>0.58333333333333337</v>
      </c>
      <c r="F5" s="1" t="s">
        <v>71</v>
      </c>
      <c r="G5" s="7" t="s">
        <v>70</v>
      </c>
      <c r="H5" s="1">
        <v>2</v>
      </c>
      <c r="I5" s="1" t="s">
        <v>213</v>
      </c>
      <c r="J5" s="14" t="s">
        <v>410</v>
      </c>
      <c r="K5" s="1" t="s">
        <v>20</v>
      </c>
    </row>
    <row r="6" spans="1:13" hidden="1" x14ac:dyDescent="0.3">
      <c r="A6" s="3">
        <v>1</v>
      </c>
      <c r="B6" s="3" t="s">
        <v>214</v>
      </c>
      <c r="C6" s="3" t="s">
        <v>215</v>
      </c>
      <c r="D6" s="4">
        <v>45044</v>
      </c>
      <c r="E6" s="6">
        <v>0.58333333333333337</v>
      </c>
      <c r="F6" s="1" t="s">
        <v>17</v>
      </c>
      <c r="G6" s="7" t="s">
        <v>18</v>
      </c>
      <c r="H6" s="1">
        <v>1</v>
      </c>
      <c r="I6" s="1" t="s">
        <v>213</v>
      </c>
      <c r="J6" s="14" t="s">
        <v>410</v>
      </c>
      <c r="K6" s="1" t="s">
        <v>20</v>
      </c>
    </row>
    <row r="7" spans="1:13" x14ac:dyDescent="0.3">
      <c r="A7" s="3">
        <v>2</v>
      </c>
      <c r="B7" s="1" t="s">
        <v>216</v>
      </c>
      <c r="C7" s="1" t="s">
        <v>217</v>
      </c>
      <c r="D7" s="4">
        <v>45044</v>
      </c>
      <c r="E7" s="6">
        <v>0.63194444444444442</v>
      </c>
      <c r="F7" s="1" t="s">
        <v>71</v>
      </c>
      <c r="G7" s="7" t="s">
        <v>70</v>
      </c>
      <c r="H7" s="1">
        <v>1</v>
      </c>
      <c r="I7" s="1" t="s">
        <v>213</v>
      </c>
      <c r="J7" s="14" t="s">
        <v>411</v>
      </c>
      <c r="K7" s="1" t="s">
        <v>20</v>
      </c>
      <c r="L7" s="1" t="s">
        <v>276</v>
      </c>
    </row>
    <row r="8" spans="1:13" x14ac:dyDescent="0.3">
      <c r="A8" s="3">
        <v>2</v>
      </c>
      <c r="B8" s="1" t="s">
        <v>216</v>
      </c>
      <c r="C8" s="1" t="s">
        <v>217</v>
      </c>
      <c r="D8" s="4">
        <v>45044</v>
      </c>
      <c r="E8" s="6">
        <v>0.63194444444444442</v>
      </c>
      <c r="F8" s="1" t="s">
        <v>40</v>
      </c>
      <c r="G8" s="7" t="s">
        <v>41</v>
      </c>
      <c r="H8" s="1">
        <v>2</v>
      </c>
      <c r="I8" s="1" t="s">
        <v>213</v>
      </c>
      <c r="J8" s="14" t="s">
        <v>411</v>
      </c>
      <c r="K8" s="1" t="s">
        <v>20</v>
      </c>
    </row>
    <row r="9" spans="1:13" x14ac:dyDescent="0.3">
      <c r="A9" s="3">
        <v>2</v>
      </c>
      <c r="B9" s="1" t="s">
        <v>216</v>
      </c>
      <c r="C9" s="1" t="s">
        <v>217</v>
      </c>
      <c r="D9" s="4">
        <v>45044</v>
      </c>
      <c r="E9" s="6">
        <v>0.63194444444444442</v>
      </c>
      <c r="F9" s="1" t="s">
        <v>17</v>
      </c>
      <c r="G9" s="7" t="s">
        <v>18</v>
      </c>
      <c r="H9" s="1">
        <v>2</v>
      </c>
      <c r="I9" s="1" t="s">
        <v>213</v>
      </c>
      <c r="J9" s="14" t="s">
        <v>411</v>
      </c>
      <c r="K9" s="1" t="s">
        <v>20</v>
      </c>
    </row>
    <row r="10" spans="1:13" x14ac:dyDescent="0.3">
      <c r="A10" s="3">
        <v>2</v>
      </c>
      <c r="B10" s="1" t="s">
        <v>216</v>
      </c>
      <c r="C10" s="1" t="s">
        <v>217</v>
      </c>
      <c r="D10" s="4">
        <v>45044</v>
      </c>
      <c r="E10" s="6">
        <v>0.63194444444444442</v>
      </c>
      <c r="F10" s="1" t="s">
        <v>21</v>
      </c>
      <c r="G10" s="7" t="s">
        <v>22</v>
      </c>
      <c r="H10" s="1">
        <v>1</v>
      </c>
      <c r="I10" s="1" t="s">
        <v>213</v>
      </c>
      <c r="J10" s="14" t="s">
        <v>411</v>
      </c>
      <c r="K10" s="1" t="s">
        <v>20</v>
      </c>
    </row>
    <row r="11" spans="1:13" x14ac:dyDescent="0.3">
      <c r="A11" s="3">
        <v>3</v>
      </c>
      <c r="B11" s="1" t="s">
        <v>218</v>
      </c>
      <c r="C11" s="1" t="s">
        <v>219</v>
      </c>
      <c r="D11" s="4">
        <v>45044</v>
      </c>
      <c r="E11" s="6">
        <v>0.67708333333333337</v>
      </c>
      <c r="F11" s="1" t="s">
        <v>89</v>
      </c>
      <c r="G11" s="7" t="s">
        <v>83</v>
      </c>
      <c r="H11" s="1">
        <v>6</v>
      </c>
      <c r="I11" s="1" t="s">
        <v>48</v>
      </c>
      <c r="J11" s="14" t="s">
        <v>411</v>
      </c>
      <c r="K11" s="1" t="s">
        <v>20</v>
      </c>
      <c r="L11" s="1" t="s">
        <v>278</v>
      </c>
    </row>
    <row r="12" spans="1:13" x14ac:dyDescent="0.3">
      <c r="A12" s="3">
        <v>3</v>
      </c>
      <c r="B12" s="1" t="s">
        <v>218</v>
      </c>
      <c r="C12" s="1" t="s">
        <v>219</v>
      </c>
      <c r="D12" s="4">
        <v>45044</v>
      </c>
      <c r="E12" s="6">
        <v>0.67708333333333337</v>
      </c>
      <c r="F12" s="1" t="s">
        <v>153</v>
      </c>
      <c r="G12" s="7" t="s">
        <v>146</v>
      </c>
      <c r="H12" s="1">
        <v>13</v>
      </c>
      <c r="I12" s="1" t="s">
        <v>48</v>
      </c>
      <c r="J12" s="14" t="s">
        <v>411</v>
      </c>
      <c r="K12" s="1" t="s">
        <v>20</v>
      </c>
      <c r="L12" s="1" t="s">
        <v>277</v>
      </c>
    </row>
    <row r="13" spans="1:13" x14ac:dyDescent="0.3">
      <c r="A13" s="3">
        <v>3</v>
      </c>
      <c r="B13" s="1" t="s">
        <v>218</v>
      </c>
      <c r="C13" s="1" t="s">
        <v>219</v>
      </c>
      <c r="D13" s="4">
        <v>45044</v>
      </c>
      <c r="E13" s="6">
        <v>0.67708333333333337</v>
      </c>
      <c r="F13" s="1" t="s">
        <v>17</v>
      </c>
      <c r="G13" s="7" t="s">
        <v>18</v>
      </c>
      <c r="H13" s="1">
        <v>1</v>
      </c>
      <c r="I13" s="1" t="s">
        <v>48</v>
      </c>
      <c r="J13" s="14" t="s">
        <v>411</v>
      </c>
      <c r="K13" s="1" t="s">
        <v>20</v>
      </c>
    </row>
    <row r="14" spans="1:13" x14ac:dyDescent="0.3">
      <c r="A14" s="3">
        <v>3</v>
      </c>
      <c r="B14" s="1" t="s">
        <v>218</v>
      </c>
      <c r="C14" s="1" t="s">
        <v>219</v>
      </c>
      <c r="D14" s="4">
        <v>45044</v>
      </c>
      <c r="E14" s="6">
        <v>0.67708333333333337</v>
      </c>
      <c r="F14" s="1" t="s">
        <v>55</v>
      </c>
      <c r="G14" s="7" t="s">
        <v>56</v>
      </c>
      <c r="H14" s="1">
        <v>6</v>
      </c>
      <c r="I14" s="1" t="s">
        <v>48</v>
      </c>
      <c r="J14" s="14" t="s">
        <v>411</v>
      </c>
      <c r="K14" s="1" t="s">
        <v>20</v>
      </c>
    </row>
    <row r="15" spans="1:13" x14ac:dyDescent="0.3">
      <c r="A15" s="3">
        <v>4</v>
      </c>
      <c r="B15" s="1" t="s">
        <v>220</v>
      </c>
      <c r="C15" s="1" t="s">
        <v>221</v>
      </c>
      <c r="D15" s="4">
        <v>45044</v>
      </c>
      <c r="E15" s="6">
        <v>0.78472222222222221</v>
      </c>
      <c r="F15" s="1" t="s">
        <v>37</v>
      </c>
      <c r="G15" s="7" t="s">
        <v>38</v>
      </c>
      <c r="H15" s="1">
        <v>1</v>
      </c>
      <c r="I15" s="1" t="s">
        <v>213</v>
      </c>
      <c r="J15" s="14" t="s">
        <v>411</v>
      </c>
      <c r="K15" s="1" t="s">
        <v>20</v>
      </c>
    </row>
    <row r="16" spans="1:13" x14ac:dyDescent="0.3">
      <c r="A16" s="3">
        <v>4</v>
      </c>
      <c r="B16" s="1" t="s">
        <v>220</v>
      </c>
      <c r="C16" s="1" t="s">
        <v>221</v>
      </c>
      <c r="D16" s="4">
        <v>45044</v>
      </c>
      <c r="E16" s="6">
        <v>0.78472222222222221</v>
      </c>
      <c r="F16" s="1" t="s">
        <v>28</v>
      </c>
      <c r="G16" s="7" t="s">
        <v>29</v>
      </c>
      <c r="H16" s="1">
        <v>1</v>
      </c>
      <c r="I16" s="1" t="s">
        <v>213</v>
      </c>
      <c r="J16" s="14" t="s">
        <v>411</v>
      </c>
      <c r="K16" s="1" t="s">
        <v>20</v>
      </c>
      <c r="L16" s="1" t="s">
        <v>284</v>
      </c>
    </row>
    <row r="17" spans="1:12" x14ac:dyDescent="0.3">
      <c r="A17" s="3">
        <v>4</v>
      </c>
      <c r="B17" s="1" t="s">
        <v>220</v>
      </c>
      <c r="C17" s="1" t="s">
        <v>221</v>
      </c>
      <c r="D17" s="4">
        <v>45044</v>
      </c>
      <c r="E17" s="6">
        <v>0.78472222222222221</v>
      </c>
      <c r="F17" s="1" t="s">
        <v>62</v>
      </c>
      <c r="G17" s="7" t="s">
        <v>63</v>
      </c>
      <c r="H17" s="1">
        <v>1</v>
      </c>
      <c r="I17" s="1" t="s">
        <v>213</v>
      </c>
      <c r="J17" s="14" t="s">
        <v>411</v>
      </c>
      <c r="K17" s="1" t="s">
        <v>20</v>
      </c>
      <c r="L17" s="1" t="s">
        <v>283</v>
      </c>
    </row>
    <row r="18" spans="1:12" hidden="1" x14ac:dyDescent="0.3">
      <c r="A18" s="3">
        <v>5</v>
      </c>
      <c r="B18" s="1" t="s">
        <v>221</v>
      </c>
      <c r="C18" s="1" t="s">
        <v>222</v>
      </c>
      <c r="D18" s="4">
        <v>45044</v>
      </c>
      <c r="E18" s="6">
        <v>0.81944444444444453</v>
      </c>
      <c r="F18" s="1" t="s">
        <v>77</v>
      </c>
      <c r="G18" s="7" t="s">
        <v>74</v>
      </c>
      <c r="H18" s="1">
        <v>1</v>
      </c>
      <c r="I18" s="1" t="s">
        <v>36</v>
      </c>
      <c r="J18" s="14" t="s">
        <v>410</v>
      </c>
      <c r="K18" s="1" t="s">
        <v>20</v>
      </c>
    </row>
    <row r="19" spans="1:12" hidden="1" x14ac:dyDescent="0.3">
      <c r="A19" s="3">
        <v>5</v>
      </c>
      <c r="B19" s="1" t="s">
        <v>221</v>
      </c>
      <c r="C19" s="1" t="s">
        <v>222</v>
      </c>
      <c r="D19" s="4">
        <v>45044</v>
      </c>
      <c r="E19" s="6">
        <v>0.81944444444444453</v>
      </c>
      <c r="F19" s="1" t="s">
        <v>37</v>
      </c>
      <c r="G19" s="7" t="s">
        <v>38</v>
      </c>
      <c r="H19" s="1">
        <v>2</v>
      </c>
      <c r="I19" s="1" t="s">
        <v>36</v>
      </c>
      <c r="J19" s="14" t="s">
        <v>410</v>
      </c>
      <c r="K19" s="1" t="s">
        <v>20</v>
      </c>
    </row>
    <row r="20" spans="1:12" hidden="1" x14ac:dyDescent="0.3">
      <c r="A20" s="3">
        <v>5</v>
      </c>
      <c r="B20" s="1" t="s">
        <v>221</v>
      </c>
      <c r="C20" s="1" t="s">
        <v>222</v>
      </c>
      <c r="D20" s="4">
        <v>45044</v>
      </c>
      <c r="E20" s="6">
        <v>0.81944444444444453</v>
      </c>
      <c r="F20" s="1" t="s">
        <v>211</v>
      </c>
      <c r="G20" s="7" t="s">
        <v>210</v>
      </c>
      <c r="H20" s="1">
        <v>1</v>
      </c>
      <c r="I20" s="1" t="s">
        <v>36</v>
      </c>
      <c r="J20" s="14" t="s">
        <v>410</v>
      </c>
      <c r="K20" s="1" t="s">
        <v>20</v>
      </c>
      <c r="L20" s="1" t="s">
        <v>282</v>
      </c>
    </row>
    <row r="21" spans="1:12" hidden="1" x14ac:dyDescent="0.3">
      <c r="A21" s="3">
        <v>5</v>
      </c>
      <c r="B21" s="1" t="s">
        <v>221</v>
      </c>
      <c r="C21" s="1" t="s">
        <v>222</v>
      </c>
      <c r="D21" s="4">
        <v>45044</v>
      </c>
      <c r="E21" s="6">
        <v>0.81944444444444453</v>
      </c>
      <c r="F21" s="1" t="s">
        <v>105</v>
      </c>
      <c r="G21" s="7" t="s">
        <v>100</v>
      </c>
      <c r="H21" s="1">
        <v>2</v>
      </c>
      <c r="I21" s="1" t="s">
        <v>36</v>
      </c>
      <c r="J21" s="14" t="s">
        <v>410</v>
      </c>
      <c r="K21" s="1" t="s">
        <v>20</v>
      </c>
      <c r="L21" s="1" t="s">
        <v>279</v>
      </c>
    </row>
    <row r="22" spans="1:12" hidden="1" x14ac:dyDescent="0.3">
      <c r="A22" s="3">
        <v>5</v>
      </c>
      <c r="B22" s="1" t="s">
        <v>221</v>
      </c>
      <c r="C22" s="1" t="s">
        <v>222</v>
      </c>
      <c r="D22" s="4">
        <v>45044</v>
      </c>
      <c r="E22" s="6">
        <v>0.81944444444444453</v>
      </c>
      <c r="F22" s="1" t="s">
        <v>21</v>
      </c>
      <c r="G22" s="7" t="s">
        <v>22</v>
      </c>
      <c r="H22" s="1">
        <v>1</v>
      </c>
      <c r="I22" s="1" t="s">
        <v>36</v>
      </c>
      <c r="J22" s="14" t="s">
        <v>410</v>
      </c>
      <c r="K22" s="1" t="s">
        <v>20</v>
      </c>
      <c r="L22" s="1" t="s">
        <v>280</v>
      </c>
    </row>
    <row r="23" spans="1:12" hidden="1" x14ac:dyDescent="0.3">
      <c r="A23" s="3">
        <v>5</v>
      </c>
      <c r="B23" s="1" t="s">
        <v>221</v>
      </c>
      <c r="C23" s="1" t="s">
        <v>222</v>
      </c>
      <c r="D23" s="4">
        <v>45044</v>
      </c>
      <c r="E23" s="6">
        <v>0.81944444444444453</v>
      </c>
      <c r="F23" s="1" t="s">
        <v>28</v>
      </c>
      <c r="G23" s="7" t="s">
        <v>29</v>
      </c>
      <c r="H23" s="1">
        <v>1</v>
      </c>
      <c r="I23" s="1" t="s">
        <v>36</v>
      </c>
      <c r="J23" s="14" t="s">
        <v>410</v>
      </c>
      <c r="K23" s="1" t="s">
        <v>20</v>
      </c>
      <c r="L23" s="1" t="s">
        <v>281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C1A6-03C4-45CD-94A9-C25E88F55C71}">
  <dimension ref="A1:L14"/>
  <sheetViews>
    <sheetView topLeftCell="C1" workbookViewId="0">
      <selection activeCell="K9" sqref="K9"/>
    </sheetView>
  </sheetViews>
  <sheetFormatPr defaultColWidth="11.44140625" defaultRowHeight="15.6" x14ac:dyDescent="0.3"/>
  <cols>
    <col min="1" max="1" width="15.6640625" style="1" bestFit="1" customWidth="1"/>
    <col min="2" max="2" width="22.44140625" style="1" bestFit="1" customWidth="1"/>
    <col min="3" max="3" width="21.88671875" style="1" bestFit="1" customWidth="1"/>
    <col min="4" max="4" width="20.109375" style="1" bestFit="1" customWidth="1"/>
    <col min="5" max="5" width="6" style="1" bestFit="1" customWidth="1"/>
    <col min="6" max="6" width="34.33203125" style="1" bestFit="1" customWidth="1"/>
    <col min="7" max="7" width="24.5546875" style="1" bestFit="1" customWidth="1"/>
    <col min="8" max="8" width="2.109375" style="1" bestFit="1" customWidth="1"/>
    <col min="9" max="9" width="26.5546875" style="1" bestFit="1" customWidth="1"/>
    <col min="10" max="10" width="30.88671875" style="1" bestFit="1" customWidth="1"/>
    <col min="11" max="11" width="9.33203125" style="1" bestFit="1" customWidth="1"/>
    <col min="12" max="12" width="33" style="1" bestFit="1" customWidth="1"/>
    <col min="13" max="16384" width="11.44140625" style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4</v>
      </c>
      <c r="E1" s="8"/>
      <c r="F1" s="3"/>
      <c r="H1" s="3"/>
    </row>
    <row r="2" spans="1:12" x14ac:dyDescent="0.3">
      <c r="A2" s="3" t="s">
        <v>13</v>
      </c>
      <c r="B2" s="3" t="s">
        <v>223</v>
      </c>
      <c r="C2" s="3"/>
      <c r="D2" s="3" t="s">
        <v>16</v>
      </c>
      <c r="E2" s="3"/>
      <c r="H2" s="3"/>
    </row>
    <row r="3" spans="1:12" x14ac:dyDescent="0.3">
      <c r="A3" s="3"/>
      <c r="B3" s="3"/>
      <c r="C3" s="3"/>
      <c r="D3" s="3"/>
      <c r="E3" s="3"/>
      <c r="H3" s="3"/>
    </row>
    <row r="4" spans="1:12" x14ac:dyDescent="0.3">
      <c r="A4" s="8" t="s">
        <v>25</v>
      </c>
      <c r="B4" s="8" t="s">
        <v>23</v>
      </c>
      <c r="C4" s="8" t="s">
        <v>24</v>
      </c>
      <c r="D4" s="8" t="s">
        <v>3</v>
      </c>
      <c r="E4" s="8" t="s">
        <v>6</v>
      </c>
      <c r="F4" s="8" t="s">
        <v>7</v>
      </c>
      <c r="G4" s="8" t="s">
        <v>8</v>
      </c>
      <c r="H4" s="8" t="s">
        <v>5</v>
      </c>
      <c r="I4" s="8" t="s">
        <v>9</v>
      </c>
      <c r="J4" s="8" t="s">
        <v>10</v>
      </c>
      <c r="K4" s="8" t="s">
        <v>11</v>
      </c>
      <c r="L4" s="8" t="s">
        <v>12</v>
      </c>
    </row>
    <row r="5" spans="1:12" x14ac:dyDescent="0.3">
      <c r="A5" s="3">
        <v>1</v>
      </c>
      <c r="B5" s="3" t="s">
        <v>233</v>
      </c>
      <c r="C5" s="3" t="s">
        <v>234</v>
      </c>
      <c r="D5" s="4">
        <v>45049</v>
      </c>
      <c r="E5" s="5">
        <v>0.61805555555555558</v>
      </c>
      <c r="F5" s="1" t="s">
        <v>62</v>
      </c>
      <c r="G5" s="7" t="s">
        <v>63</v>
      </c>
      <c r="H5" s="1">
        <v>2</v>
      </c>
      <c r="I5" s="1" t="s">
        <v>36</v>
      </c>
      <c r="J5" s="1" t="s">
        <v>20</v>
      </c>
    </row>
    <row r="6" spans="1:12" x14ac:dyDescent="0.3">
      <c r="A6" s="3">
        <v>1</v>
      </c>
      <c r="B6" s="3" t="s">
        <v>233</v>
      </c>
      <c r="C6" s="3" t="s">
        <v>234</v>
      </c>
      <c r="D6" s="4">
        <v>45049</v>
      </c>
      <c r="E6" s="5">
        <v>0.61805555555555558</v>
      </c>
      <c r="F6" s="1" t="s">
        <v>17</v>
      </c>
      <c r="G6" s="7" t="s">
        <v>18</v>
      </c>
      <c r="H6" s="1">
        <v>2</v>
      </c>
      <c r="I6" s="1" t="s">
        <v>36</v>
      </c>
      <c r="J6" s="1" t="s">
        <v>20</v>
      </c>
      <c r="K6" s="1" t="s">
        <v>315</v>
      </c>
    </row>
    <row r="7" spans="1:12" x14ac:dyDescent="0.3">
      <c r="A7" s="3">
        <v>1</v>
      </c>
      <c r="B7" s="3" t="s">
        <v>233</v>
      </c>
      <c r="C7" s="3" t="s">
        <v>234</v>
      </c>
      <c r="D7" s="4">
        <v>45049</v>
      </c>
      <c r="E7" s="5">
        <v>0.61805555555555558</v>
      </c>
      <c r="F7" s="1" t="s">
        <v>21</v>
      </c>
      <c r="G7" s="7" t="s">
        <v>22</v>
      </c>
      <c r="H7" s="1">
        <v>1</v>
      </c>
      <c r="I7" s="1" t="s">
        <v>36</v>
      </c>
      <c r="J7" s="1" t="s">
        <v>20</v>
      </c>
    </row>
    <row r="8" spans="1:12" x14ac:dyDescent="0.3">
      <c r="A8" s="3">
        <v>1</v>
      </c>
      <c r="B8" s="3" t="s">
        <v>233</v>
      </c>
      <c r="C8" s="3" t="s">
        <v>234</v>
      </c>
      <c r="D8" s="4">
        <v>45049</v>
      </c>
      <c r="E8" s="5">
        <v>0.61805555555555558</v>
      </c>
      <c r="F8" s="1" t="s">
        <v>105</v>
      </c>
      <c r="G8" s="7" t="s">
        <v>100</v>
      </c>
      <c r="H8" s="1">
        <v>1</v>
      </c>
      <c r="I8" s="1" t="s">
        <v>36</v>
      </c>
      <c r="J8" s="1" t="s">
        <v>20</v>
      </c>
      <c r="K8" s="1" t="s">
        <v>316</v>
      </c>
    </row>
    <row r="9" spans="1:12" x14ac:dyDescent="0.3">
      <c r="A9" s="3">
        <v>2</v>
      </c>
      <c r="B9" s="1" t="s">
        <v>235</v>
      </c>
      <c r="C9" s="1" t="s">
        <v>236</v>
      </c>
      <c r="D9" s="4">
        <v>45049</v>
      </c>
      <c r="E9" s="5">
        <v>0.80555555555555547</v>
      </c>
      <c r="F9" s="1" t="s">
        <v>21</v>
      </c>
      <c r="G9" s="7" t="s">
        <v>22</v>
      </c>
      <c r="H9" s="1">
        <v>3</v>
      </c>
      <c r="I9" s="1" t="s">
        <v>36</v>
      </c>
      <c r="J9" s="1" t="s">
        <v>20</v>
      </c>
    </row>
    <row r="10" spans="1:12" x14ac:dyDescent="0.3">
      <c r="A10" s="3">
        <v>3</v>
      </c>
      <c r="B10" s="1" t="s">
        <v>235</v>
      </c>
      <c r="C10" s="1" t="s">
        <v>237</v>
      </c>
      <c r="D10" s="4">
        <v>45049</v>
      </c>
      <c r="E10" s="5">
        <v>0.86111111111111116</v>
      </c>
      <c r="F10" s="1" t="s">
        <v>232</v>
      </c>
      <c r="G10" s="7" t="s">
        <v>231</v>
      </c>
      <c r="H10" s="1">
        <v>1</v>
      </c>
      <c r="I10" s="1" t="s">
        <v>36</v>
      </c>
      <c r="J10" s="1" t="s">
        <v>20</v>
      </c>
    </row>
    <row r="11" spans="1:12" x14ac:dyDescent="0.3">
      <c r="A11" s="3">
        <v>3</v>
      </c>
      <c r="B11" s="1" t="s">
        <v>235</v>
      </c>
      <c r="C11" s="1" t="s">
        <v>237</v>
      </c>
      <c r="D11" s="4">
        <v>45049</v>
      </c>
      <c r="E11" s="5">
        <v>0.86111111111111116</v>
      </c>
      <c r="F11" s="1" t="s">
        <v>21</v>
      </c>
      <c r="G11" s="7" t="s">
        <v>22</v>
      </c>
      <c r="H11" s="1">
        <v>2</v>
      </c>
      <c r="I11" s="1" t="s">
        <v>36</v>
      </c>
      <c r="J11" s="1" t="s">
        <v>20</v>
      </c>
    </row>
    <row r="12" spans="1:12" x14ac:dyDescent="0.3">
      <c r="A12" s="3">
        <v>4</v>
      </c>
      <c r="B12" s="1" t="s">
        <v>235</v>
      </c>
      <c r="C12" s="1" t="s">
        <v>236</v>
      </c>
      <c r="D12" s="4">
        <v>45050</v>
      </c>
      <c r="E12" s="5">
        <v>0.32291666666666669</v>
      </c>
      <c r="F12" s="1" t="s">
        <v>40</v>
      </c>
      <c r="G12" s="7" t="s">
        <v>41</v>
      </c>
      <c r="H12" s="1">
        <v>1</v>
      </c>
      <c r="I12" s="1" t="s">
        <v>36</v>
      </c>
      <c r="J12" s="1" t="s">
        <v>20</v>
      </c>
    </row>
    <row r="13" spans="1:12" x14ac:dyDescent="0.3">
      <c r="A13" s="3">
        <v>4</v>
      </c>
      <c r="B13" s="1" t="s">
        <v>235</v>
      </c>
      <c r="C13" s="1" t="s">
        <v>236</v>
      </c>
      <c r="D13" s="4">
        <v>45050</v>
      </c>
      <c r="E13" s="5">
        <v>0.32291666666666669</v>
      </c>
      <c r="F13" s="1" t="s">
        <v>21</v>
      </c>
      <c r="G13" s="7" t="s">
        <v>22</v>
      </c>
      <c r="H13" s="1">
        <v>1</v>
      </c>
      <c r="I13" s="1" t="s">
        <v>36</v>
      </c>
      <c r="J13" s="1" t="s">
        <v>20</v>
      </c>
    </row>
    <row r="14" spans="1:12" x14ac:dyDescent="0.3">
      <c r="A14" s="3">
        <v>5</v>
      </c>
      <c r="B14" s="1" t="s">
        <v>235</v>
      </c>
      <c r="C14" s="1" t="s">
        <v>237</v>
      </c>
      <c r="D14" s="4">
        <v>45050</v>
      </c>
      <c r="E14" s="5">
        <v>0.3611111111111111</v>
      </c>
      <c r="F14" s="1" t="s">
        <v>21</v>
      </c>
      <c r="G14" s="7" t="s">
        <v>22</v>
      </c>
      <c r="H14" s="1">
        <v>2</v>
      </c>
      <c r="I14" s="1" t="s">
        <v>36</v>
      </c>
      <c r="J14" s="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B7A3-4B96-4273-B823-098DDAA9590D}">
  <dimension ref="A1:P71"/>
  <sheetViews>
    <sheetView zoomScale="94" workbookViewId="0">
      <pane ySplit="1" topLeftCell="A42" activePane="bottomLeft" state="frozen"/>
      <selection pane="bottomLeft" activeCell="J66" sqref="J66"/>
    </sheetView>
  </sheetViews>
  <sheetFormatPr defaultColWidth="11.44140625" defaultRowHeight="15.6" x14ac:dyDescent="0.3"/>
  <cols>
    <col min="1" max="1" width="23.6640625" style="1" bestFit="1" customWidth="1"/>
    <col min="2" max="2" width="12.6640625" style="1" bestFit="1" customWidth="1"/>
    <col min="3" max="3" width="18" style="1" bestFit="1" customWidth="1"/>
    <col min="4" max="4" width="19.5546875" style="1" bestFit="1" customWidth="1"/>
    <col min="5" max="5" width="5.6640625" style="1" bestFit="1" customWidth="1"/>
    <col min="6" max="6" width="17.6640625" style="1" bestFit="1" customWidth="1"/>
    <col min="7" max="7" width="19" style="1" bestFit="1" customWidth="1"/>
    <col min="8" max="8" width="5.6640625" style="1" bestFit="1" customWidth="1"/>
    <col min="9" max="9" width="11.33203125" style="1" bestFit="1" customWidth="1"/>
    <col min="10" max="10" width="22" style="1" bestFit="1" customWidth="1"/>
    <col min="11" max="11" width="22.44140625" style="1" customWidth="1"/>
    <col min="12" max="16384" width="11.44140625" style="1"/>
  </cols>
  <sheetData>
    <row r="1" spans="1:16" x14ac:dyDescent="0.3">
      <c r="A1" s="8" t="s">
        <v>325</v>
      </c>
      <c r="B1" s="8" t="s">
        <v>326</v>
      </c>
      <c r="C1" s="8" t="s">
        <v>327</v>
      </c>
      <c r="D1" s="8" t="s">
        <v>328</v>
      </c>
      <c r="E1" s="8" t="s">
        <v>329</v>
      </c>
      <c r="F1" s="8" t="s">
        <v>330</v>
      </c>
      <c r="G1" s="8" t="s">
        <v>331</v>
      </c>
      <c r="H1" s="8" t="s">
        <v>329</v>
      </c>
      <c r="I1" s="8" t="s">
        <v>3</v>
      </c>
      <c r="J1" s="8" t="s">
        <v>408</v>
      </c>
      <c r="K1" s="8" t="s">
        <v>409</v>
      </c>
    </row>
    <row r="2" spans="1:16" ht="28.8" x14ac:dyDescent="0.3">
      <c r="A2" s="1" t="s">
        <v>98</v>
      </c>
      <c r="B2" s="3">
        <v>1</v>
      </c>
      <c r="C2" s="3">
        <v>809105</v>
      </c>
      <c r="D2" s="3">
        <v>2013887</v>
      </c>
      <c r="E2" s="3" t="s">
        <v>332</v>
      </c>
      <c r="F2" s="3">
        <v>808962</v>
      </c>
      <c r="G2" s="3">
        <v>2013504</v>
      </c>
      <c r="H2" s="3" t="s">
        <v>332</v>
      </c>
      <c r="I2" s="4">
        <v>45036</v>
      </c>
      <c r="J2" s="12" t="s">
        <v>410</v>
      </c>
      <c r="K2" s="12" t="s">
        <v>410</v>
      </c>
    </row>
    <row r="3" spans="1:16" ht="28.8" x14ac:dyDescent="0.3">
      <c r="B3" s="3">
        <v>2</v>
      </c>
      <c r="C3" s="3">
        <v>809203</v>
      </c>
      <c r="D3" s="3">
        <v>2012457</v>
      </c>
      <c r="E3" s="3" t="s">
        <v>332</v>
      </c>
      <c r="F3" s="3">
        <v>809408</v>
      </c>
      <c r="G3" s="3">
        <v>2011610</v>
      </c>
      <c r="H3" s="3" t="s">
        <v>332</v>
      </c>
      <c r="I3" s="4">
        <v>45036</v>
      </c>
      <c r="J3" s="12" t="s">
        <v>410</v>
      </c>
      <c r="K3" s="12" t="s">
        <v>410</v>
      </c>
      <c r="P3" s="1" t="s">
        <v>412</v>
      </c>
    </row>
    <row r="4" spans="1:16" ht="28.8" x14ac:dyDescent="0.3">
      <c r="B4" s="3">
        <v>3</v>
      </c>
      <c r="C4" s="3">
        <v>809408</v>
      </c>
      <c r="D4" s="3">
        <v>2011610</v>
      </c>
      <c r="E4" s="3" t="s">
        <v>332</v>
      </c>
      <c r="F4" s="3">
        <v>809588</v>
      </c>
      <c r="G4" s="3">
        <v>2010729</v>
      </c>
      <c r="H4" s="3" t="s">
        <v>332</v>
      </c>
      <c r="I4" s="4">
        <v>45036</v>
      </c>
      <c r="J4" s="12" t="s">
        <v>410</v>
      </c>
      <c r="K4" s="12" t="s">
        <v>410</v>
      </c>
    </row>
    <row r="5" spans="1:16" ht="28.8" x14ac:dyDescent="0.3">
      <c r="B5" s="3">
        <v>4</v>
      </c>
      <c r="C5" s="3">
        <v>812714</v>
      </c>
      <c r="D5" s="3">
        <v>2010933</v>
      </c>
      <c r="E5" s="3" t="s">
        <v>332</v>
      </c>
      <c r="F5" s="3">
        <v>813371</v>
      </c>
      <c r="G5" s="3">
        <v>2011617</v>
      </c>
      <c r="H5" s="3" t="s">
        <v>332</v>
      </c>
      <c r="I5" s="4">
        <v>45036</v>
      </c>
      <c r="J5" s="12" t="s">
        <v>410</v>
      </c>
      <c r="K5" s="12" t="s">
        <v>410</v>
      </c>
    </row>
    <row r="6" spans="1:16" ht="28.8" x14ac:dyDescent="0.3">
      <c r="A6" s="1" t="s">
        <v>117</v>
      </c>
      <c r="B6" s="3">
        <v>1</v>
      </c>
      <c r="C6" s="3">
        <v>214731</v>
      </c>
      <c r="D6" s="3">
        <v>1991986</v>
      </c>
      <c r="E6" s="3" t="s">
        <v>333</v>
      </c>
      <c r="F6" s="3">
        <v>213866</v>
      </c>
      <c r="G6" s="3">
        <v>1992237</v>
      </c>
      <c r="H6" s="3" t="s">
        <v>333</v>
      </c>
      <c r="I6" s="10">
        <v>45037</v>
      </c>
      <c r="J6" s="12" t="s">
        <v>410</v>
      </c>
      <c r="K6" s="12" t="s">
        <v>410</v>
      </c>
    </row>
    <row r="7" spans="1:16" ht="28.8" x14ac:dyDescent="0.3">
      <c r="B7" s="3">
        <v>2</v>
      </c>
      <c r="C7" s="3">
        <v>213866</v>
      </c>
      <c r="D7" s="3">
        <v>1992237</v>
      </c>
      <c r="E7" s="3" t="s">
        <v>333</v>
      </c>
      <c r="F7" s="3">
        <v>213130</v>
      </c>
      <c r="G7" s="3">
        <v>1992567</v>
      </c>
      <c r="H7" s="3" t="s">
        <v>333</v>
      </c>
      <c r="I7" s="10">
        <v>45037</v>
      </c>
      <c r="J7" s="12" t="s">
        <v>410</v>
      </c>
      <c r="K7" s="12" t="s">
        <v>410</v>
      </c>
    </row>
    <row r="8" spans="1:16" ht="28.8" x14ac:dyDescent="0.3">
      <c r="B8" s="3">
        <v>3</v>
      </c>
      <c r="C8" s="3">
        <v>214769</v>
      </c>
      <c r="D8" s="3">
        <v>1991989</v>
      </c>
      <c r="E8" s="3" t="s">
        <v>333</v>
      </c>
      <c r="F8" s="3">
        <v>215579</v>
      </c>
      <c r="G8" s="3">
        <v>1991879</v>
      </c>
      <c r="H8" s="3" t="s">
        <v>333</v>
      </c>
      <c r="I8" s="10">
        <v>45037</v>
      </c>
      <c r="J8" s="12" t="s">
        <v>410</v>
      </c>
      <c r="K8" s="12" t="s">
        <v>410</v>
      </c>
    </row>
    <row r="9" spans="1:16" ht="28.8" x14ac:dyDescent="0.3">
      <c r="B9" s="3">
        <v>4</v>
      </c>
      <c r="C9" s="3">
        <v>215163</v>
      </c>
      <c r="D9" s="3">
        <v>1982722</v>
      </c>
      <c r="E9" s="3" t="s">
        <v>333</v>
      </c>
      <c r="F9" s="3">
        <v>214964</v>
      </c>
      <c r="G9" s="3">
        <v>1982546</v>
      </c>
      <c r="H9" s="3" t="s">
        <v>333</v>
      </c>
      <c r="I9" s="10">
        <v>45038</v>
      </c>
      <c r="J9" s="12" t="s">
        <v>410</v>
      </c>
      <c r="K9" s="12" t="s">
        <v>410</v>
      </c>
    </row>
    <row r="10" spans="1:16" ht="28.8" x14ac:dyDescent="0.3">
      <c r="B10" s="3">
        <v>5</v>
      </c>
      <c r="C10" s="3">
        <v>215418</v>
      </c>
      <c r="D10" s="3">
        <v>1981029</v>
      </c>
      <c r="E10" s="3" t="s">
        <v>333</v>
      </c>
      <c r="F10" s="3">
        <v>215292</v>
      </c>
      <c r="G10" s="3">
        <v>1980600</v>
      </c>
      <c r="H10" s="3" t="s">
        <v>333</v>
      </c>
      <c r="I10" s="10">
        <v>45038</v>
      </c>
      <c r="J10" s="12" t="s">
        <v>410</v>
      </c>
      <c r="K10" s="12" t="s">
        <v>410</v>
      </c>
    </row>
    <row r="11" spans="1:16" ht="28.8" x14ac:dyDescent="0.3">
      <c r="B11" s="3">
        <v>6</v>
      </c>
      <c r="C11" s="3">
        <v>215163</v>
      </c>
      <c r="D11" s="3">
        <v>1982722</v>
      </c>
      <c r="E11" s="3" t="s">
        <v>333</v>
      </c>
      <c r="F11" s="3">
        <v>214964</v>
      </c>
      <c r="G11" s="3">
        <v>1982546</v>
      </c>
      <c r="H11" s="3" t="s">
        <v>333</v>
      </c>
      <c r="I11" s="10">
        <v>45038</v>
      </c>
      <c r="J11" s="12" t="s">
        <v>410</v>
      </c>
      <c r="K11" s="12" t="s">
        <v>410</v>
      </c>
    </row>
    <row r="12" spans="1:16" ht="28.8" x14ac:dyDescent="0.3">
      <c r="B12" s="3">
        <v>7</v>
      </c>
      <c r="C12" s="3">
        <v>215176</v>
      </c>
      <c r="D12" s="3">
        <v>1982728</v>
      </c>
      <c r="E12" s="3" t="s">
        <v>333</v>
      </c>
      <c r="F12" s="3">
        <v>215045</v>
      </c>
      <c r="G12" s="3">
        <v>1983600</v>
      </c>
      <c r="H12" s="3" t="s">
        <v>333</v>
      </c>
      <c r="I12" s="10">
        <v>45038</v>
      </c>
      <c r="J12" s="12" t="s">
        <v>410</v>
      </c>
      <c r="K12" s="12" t="s">
        <v>410</v>
      </c>
    </row>
    <row r="13" spans="1:16" ht="28.8" x14ac:dyDescent="0.3">
      <c r="B13" s="3">
        <v>8</v>
      </c>
      <c r="C13" s="3">
        <v>215037</v>
      </c>
      <c r="D13" s="3">
        <v>1983679</v>
      </c>
      <c r="E13" s="3" t="s">
        <v>333</v>
      </c>
      <c r="F13" s="3">
        <v>214970</v>
      </c>
      <c r="G13" s="3">
        <v>1984563</v>
      </c>
      <c r="H13" s="3" t="s">
        <v>333</v>
      </c>
      <c r="I13" s="10">
        <v>45039</v>
      </c>
      <c r="J13" s="12" t="s">
        <v>410</v>
      </c>
      <c r="K13" s="12" t="s">
        <v>411</v>
      </c>
    </row>
    <row r="14" spans="1:16" ht="28.8" x14ac:dyDescent="0.3">
      <c r="A14" s="1" t="s">
        <v>145</v>
      </c>
      <c r="B14" s="3">
        <v>1</v>
      </c>
      <c r="C14" s="3">
        <v>261784</v>
      </c>
      <c r="D14" s="3">
        <v>2014037</v>
      </c>
      <c r="E14" s="3" t="s">
        <v>333</v>
      </c>
      <c r="F14" s="3">
        <v>261701</v>
      </c>
      <c r="G14" s="3">
        <v>2014648</v>
      </c>
      <c r="H14" s="3" t="s">
        <v>333</v>
      </c>
      <c r="I14" s="10">
        <v>45040</v>
      </c>
      <c r="J14" s="12" t="s">
        <v>410</v>
      </c>
      <c r="K14" s="12" t="s">
        <v>410</v>
      </c>
    </row>
    <row r="15" spans="1:16" ht="28.8" x14ac:dyDescent="0.3">
      <c r="B15" s="3">
        <v>2</v>
      </c>
      <c r="C15" s="3">
        <v>261824</v>
      </c>
      <c r="D15" s="3">
        <v>2014673</v>
      </c>
      <c r="E15" s="3" t="s">
        <v>333</v>
      </c>
      <c r="F15" s="3">
        <v>261866</v>
      </c>
      <c r="G15" s="3">
        <v>2015450</v>
      </c>
      <c r="H15" s="3" t="s">
        <v>333</v>
      </c>
      <c r="I15" s="10">
        <v>45040</v>
      </c>
      <c r="J15" s="12" t="s">
        <v>410</v>
      </c>
      <c r="K15" s="12" t="s">
        <v>410</v>
      </c>
    </row>
    <row r="16" spans="1:16" ht="28.8" x14ac:dyDescent="0.3">
      <c r="B16" s="3">
        <v>3</v>
      </c>
      <c r="C16" s="3">
        <v>261866</v>
      </c>
      <c r="D16" s="3">
        <v>2015450</v>
      </c>
      <c r="E16" s="3" t="s">
        <v>333</v>
      </c>
      <c r="F16" s="3">
        <v>261918</v>
      </c>
      <c r="G16" s="3">
        <v>2016302</v>
      </c>
      <c r="H16" s="3" t="s">
        <v>333</v>
      </c>
      <c r="I16" s="10">
        <v>45040</v>
      </c>
      <c r="J16" s="12" t="s">
        <v>410</v>
      </c>
      <c r="K16" s="12" t="s">
        <v>410</v>
      </c>
    </row>
    <row r="17" spans="1:11" ht="28.8" x14ac:dyDescent="0.3">
      <c r="B17" s="3">
        <v>4</v>
      </c>
      <c r="C17" s="3">
        <v>261934</v>
      </c>
      <c r="D17" s="3">
        <v>2017007</v>
      </c>
      <c r="E17" s="3" t="s">
        <v>333</v>
      </c>
      <c r="F17" s="3">
        <v>261813</v>
      </c>
      <c r="G17" s="3">
        <v>2016917</v>
      </c>
      <c r="H17" s="3" t="s">
        <v>333</v>
      </c>
      <c r="I17" s="10">
        <v>45040</v>
      </c>
      <c r="J17" s="12" t="s">
        <v>410</v>
      </c>
      <c r="K17" s="12" t="s">
        <v>410</v>
      </c>
    </row>
    <row r="18" spans="1:11" ht="28.8" x14ac:dyDescent="0.3">
      <c r="B18" s="3">
        <v>5</v>
      </c>
      <c r="C18" s="3">
        <v>261784</v>
      </c>
      <c r="D18" s="3">
        <v>2014037</v>
      </c>
      <c r="E18" s="3" t="s">
        <v>333</v>
      </c>
      <c r="F18" s="3">
        <v>261701</v>
      </c>
      <c r="G18" s="3">
        <v>2014648</v>
      </c>
      <c r="H18" s="3" t="s">
        <v>333</v>
      </c>
      <c r="I18" s="10">
        <v>45040</v>
      </c>
      <c r="J18" s="12" t="s">
        <v>410</v>
      </c>
      <c r="K18" s="12" t="s">
        <v>410</v>
      </c>
    </row>
    <row r="19" spans="1:11" ht="28.8" x14ac:dyDescent="0.3">
      <c r="B19" s="3">
        <v>6</v>
      </c>
      <c r="C19" s="3">
        <v>261818</v>
      </c>
      <c r="D19" s="3">
        <v>2014647</v>
      </c>
      <c r="E19" s="3" t="s">
        <v>333</v>
      </c>
      <c r="F19" s="3">
        <v>261878</v>
      </c>
      <c r="G19" s="3">
        <v>2015623</v>
      </c>
      <c r="H19" s="3" t="s">
        <v>333</v>
      </c>
      <c r="I19" s="10">
        <v>45047</v>
      </c>
      <c r="J19" s="12" t="s">
        <v>410</v>
      </c>
      <c r="K19" s="12" t="s">
        <v>410</v>
      </c>
    </row>
    <row r="20" spans="1:11" ht="28.8" x14ac:dyDescent="0.3">
      <c r="B20" s="3">
        <v>7</v>
      </c>
      <c r="C20" s="3">
        <v>261818</v>
      </c>
      <c r="D20" s="3">
        <v>2014647</v>
      </c>
      <c r="E20" s="3" t="s">
        <v>333</v>
      </c>
      <c r="F20" s="3">
        <v>261784</v>
      </c>
      <c r="G20" s="3">
        <v>2014028</v>
      </c>
      <c r="H20" s="3" t="s">
        <v>333</v>
      </c>
      <c r="I20" s="10">
        <v>45047</v>
      </c>
      <c r="J20" s="12" t="s">
        <v>410</v>
      </c>
      <c r="K20" s="12" t="s">
        <v>410</v>
      </c>
    </row>
    <row r="21" spans="1:11" ht="28.8" x14ac:dyDescent="0.3">
      <c r="B21" s="3">
        <v>8</v>
      </c>
      <c r="C21" s="3">
        <v>261784</v>
      </c>
      <c r="D21" s="3">
        <v>2014028</v>
      </c>
      <c r="E21" s="3" t="s">
        <v>333</v>
      </c>
      <c r="F21" s="3">
        <v>261726</v>
      </c>
      <c r="G21" s="3">
        <v>2013096</v>
      </c>
      <c r="H21" s="3" t="s">
        <v>333</v>
      </c>
      <c r="I21" s="10">
        <v>45047</v>
      </c>
      <c r="J21" s="12" t="s">
        <v>410</v>
      </c>
      <c r="K21" s="12" t="s">
        <v>410</v>
      </c>
    </row>
    <row r="22" spans="1:11" ht="28.8" x14ac:dyDescent="0.3">
      <c r="B22" s="3">
        <v>9</v>
      </c>
      <c r="C22" s="3">
        <v>261761</v>
      </c>
      <c r="D22" s="3">
        <v>2013653</v>
      </c>
      <c r="E22" s="3" t="s">
        <v>333</v>
      </c>
      <c r="F22" s="3">
        <v>261785</v>
      </c>
      <c r="G22" s="3">
        <v>2014633</v>
      </c>
      <c r="H22" s="3" t="s">
        <v>333</v>
      </c>
      <c r="I22" s="10">
        <v>45048</v>
      </c>
      <c r="J22" s="12" t="s">
        <v>410</v>
      </c>
      <c r="K22" s="12" t="s">
        <v>410</v>
      </c>
    </row>
    <row r="23" spans="1:11" ht="28.8" x14ac:dyDescent="0.3">
      <c r="B23" s="3">
        <v>10</v>
      </c>
      <c r="C23" s="3">
        <v>261764</v>
      </c>
      <c r="D23" s="3">
        <v>2013643</v>
      </c>
      <c r="E23" s="3" t="s">
        <v>333</v>
      </c>
      <c r="F23" s="3">
        <v>261708</v>
      </c>
      <c r="G23" s="3">
        <v>2012730</v>
      </c>
      <c r="H23" s="3" t="s">
        <v>333</v>
      </c>
      <c r="I23" s="10">
        <v>45048</v>
      </c>
      <c r="J23" s="12" t="s">
        <v>410</v>
      </c>
      <c r="K23" s="12" t="s">
        <v>410</v>
      </c>
    </row>
    <row r="24" spans="1:11" ht="28.8" x14ac:dyDescent="0.3">
      <c r="B24" s="3">
        <v>11</v>
      </c>
      <c r="C24" s="3">
        <v>261960</v>
      </c>
      <c r="D24" s="3">
        <v>2016987</v>
      </c>
      <c r="E24" s="3" t="s">
        <v>333</v>
      </c>
      <c r="F24" s="3">
        <v>261878</v>
      </c>
      <c r="G24" s="3">
        <v>2015623</v>
      </c>
      <c r="H24" s="3" t="s">
        <v>333</v>
      </c>
      <c r="I24" s="10">
        <v>45048</v>
      </c>
      <c r="J24" s="12" t="s">
        <v>410</v>
      </c>
      <c r="K24" s="12" t="s">
        <v>410</v>
      </c>
    </row>
    <row r="25" spans="1:11" ht="28.8" x14ac:dyDescent="0.3">
      <c r="B25" s="3">
        <v>12</v>
      </c>
      <c r="C25" s="3">
        <v>261960</v>
      </c>
      <c r="D25" s="3">
        <v>2016987</v>
      </c>
      <c r="E25" s="3" t="s">
        <v>333</v>
      </c>
      <c r="F25" s="3">
        <v>261106</v>
      </c>
      <c r="G25" s="3">
        <v>2016929</v>
      </c>
      <c r="H25" s="3" t="s">
        <v>333</v>
      </c>
      <c r="I25" s="10">
        <v>45048</v>
      </c>
      <c r="J25" s="12" t="s">
        <v>410</v>
      </c>
      <c r="K25" s="12" t="s">
        <v>410</v>
      </c>
    </row>
    <row r="26" spans="1:11" ht="28.8" x14ac:dyDescent="0.3">
      <c r="B26" s="3">
        <v>13</v>
      </c>
      <c r="C26" s="3">
        <v>261960</v>
      </c>
      <c r="D26" s="3">
        <v>2016987</v>
      </c>
      <c r="E26" s="3" t="s">
        <v>333</v>
      </c>
      <c r="F26" s="3">
        <v>262632</v>
      </c>
      <c r="G26" s="3">
        <v>2017067</v>
      </c>
      <c r="H26" s="3" t="s">
        <v>333</v>
      </c>
      <c r="I26" s="10">
        <v>45048</v>
      </c>
      <c r="J26" s="12" t="s">
        <v>410</v>
      </c>
      <c r="K26" s="12" t="s">
        <v>410</v>
      </c>
    </row>
    <row r="27" spans="1:11" ht="28.8" x14ac:dyDescent="0.3">
      <c r="A27" s="1" t="s">
        <v>177</v>
      </c>
      <c r="B27" s="3">
        <v>1</v>
      </c>
      <c r="C27" s="3">
        <v>267069</v>
      </c>
      <c r="D27" s="3">
        <v>1985068</v>
      </c>
      <c r="E27" s="3" t="s">
        <v>333</v>
      </c>
      <c r="F27" s="3">
        <v>267544</v>
      </c>
      <c r="G27" s="3">
        <v>1984909</v>
      </c>
      <c r="H27" s="3" t="s">
        <v>333</v>
      </c>
      <c r="I27" s="10">
        <v>45041</v>
      </c>
      <c r="J27" s="12" t="s">
        <v>410</v>
      </c>
      <c r="K27" s="12" t="s">
        <v>410</v>
      </c>
    </row>
    <row r="28" spans="1:11" ht="28.8" x14ac:dyDescent="0.3">
      <c r="B28" s="3">
        <v>2</v>
      </c>
      <c r="C28" s="3">
        <v>267544</v>
      </c>
      <c r="D28" s="3">
        <v>1984909</v>
      </c>
      <c r="E28" s="3" t="s">
        <v>333</v>
      </c>
      <c r="F28" s="3">
        <v>267433</v>
      </c>
      <c r="G28" s="3">
        <v>1984670</v>
      </c>
      <c r="H28" s="3" t="s">
        <v>333</v>
      </c>
      <c r="I28" s="10">
        <v>45041</v>
      </c>
      <c r="J28" s="12" t="s">
        <v>410</v>
      </c>
      <c r="K28" s="12" t="s">
        <v>410</v>
      </c>
    </row>
    <row r="29" spans="1:11" ht="28.8" x14ac:dyDescent="0.3">
      <c r="B29" s="3">
        <v>3</v>
      </c>
      <c r="C29" s="3">
        <v>267069</v>
      </c>
      <c r="D29" s="3">
        <v>1985068</v>
      </c>
      <c r="E29" s="3" t="s">
        <v>333</v>
      </c>
      <c r="F29" s="3">
        <v>267544</v>
      </c>
      <c r="G29" s="3">
        <v>1984909</v>
      </c>
      <c r="H29" s="3" t="s">
        <v>333</v>
      </c>
      <c r="I29" s="10">
        <v>45041</v>
      </c>
      <c r="J29" s="12" t="s">
        <v>410</v>
      </c>
      <c r="K29" s="12" t="s">
        <v>410</v>
      </c>
    </row>
    <row r="30" spans="1:11" ht="28.8" x14ac:dyDescent="0.3">
      <c r="B30" s="3">
        <v>4</v>
      </c>
      <c r="C30" s="3">
        <v>267544</v>
      </c>
      <c r="D30" s="3">
        <v>1984909</v>
      </c>
      <c r="E30" s="3" t="s">
        <v>333</v>
      </c>
      <c r="F30" s="3">
        <v>267433</v>
      </c>
      <c r="G30" s="3">
        <v>1984670</v>
      </c>
      <c r="H30" s="3" t="s">
        <v>333</v>
      </c>
      <c r="I30" s="10">
        <v>45041</v>
      </c>
      <c r="J30" s="12" t="s">
        <v>410</v>
      </c>
      <c r="K30" s="12" t="s">
        <v>410</v>
      </c>
    </row>
    <row r="31" spans="1:11" ht="28.8" x14ac:dyDescent="0.3">
      <c r="B31" s="3">
        <v>5</v>
      </c>
      <c r="C31" s="3">
        <v>267533</v>
      </c>
      <c r="D31" s="3">
        <v>1985104</v>
      </c>
      <c r="E31" s="3" t="s">
        <v>333</v>
      </c>
      <c r="F31" s="3">
        <v>267907</v>
      </c>
      <c r="G31" s="3">
        <v>1984877</v>
      </c>
      <c r="H31" s="3" t="s">
        <v>333</v>
      </c>
      <c r="I31" s="10">
        <v>45041</v>
      </c>
      <c r="J31" s="12" t="s">
        <v>410</v>
      </c>
      <c r="K31" s="12" t="s">
        <v>410</v>
      </c>
    </row>
    <row r="32" spans="1:11" ht="28.8" x14ac:dyDescent="0.3">
      <c r="B32" s="3">
        <v>6</v>
      </c>
      <c r="C32" s="3">
        <v>267074</v>
      </c>
      <c r="D32" s="3">
        <v>1985045</v>
      </c>
      <c r="E32" s="3" t="s">
        <v>333</v>
      </c>
      <c r="F32" s="3">
        <v>267531</v>
      </c>
      <c r="G32" s="3">
        <v>1984713</v>
      </c>
      <c r="H32" s="3" t="s">
        <v>333</v>
      </c>
      <c r="I32" s="10">
        <v>45050</v>
      </c>
      <c r="J32" s="12" t="s">
        <v>410</v>
      </c>
      <c r="K32" s="12" t="s">
        <v>410</v>
      </c>
    </row>
    <row r="33" spans="1:11" ht="28.8" x14ac:dyDescent="0.3">
      <c r="B33" s="3">
        <v>7</v>
      </c>
      <c r="C33" s="3">
        <v>267385</v>
      </c>
      <c r="D33" s="3">
        <v>1983831</v>
      </c>
      <c r="E33" s="3" t="s">
        <v>333</v>
      </c>
      <c r="F33" s="3">
        <v>266918</v>
      </c>
      <c r="G33" s="3">
        <v>1983729</v>
      </c>
      <c r="H33" s="3" t="s">
        <v>333</v>
      </c>
      <c r="I33" s="10">
        <v>45050</v>
      </c>
      <c r="J33" s="12" t="s">
        <v>410</v>
      </c>
      <c r="K33" s="12" t="s">
        <v>410</v>
      </c>
    </row>
    <row r="34" spans="1:11" ht="28.8" x14ac:dyDescent="0.3">
      <c r="B34" s="3">
        <v>8</v>
      </c>
      <c r="C34" s="3">
        <v>267394</v>
      </c>
      <c r="D34" s="3">
        <v>1983846</v>
      </c>
      <c r="E34" s="3" t="s">
        <v>333</v>
      </c>
      <c r="F34" s="3">
        <v>267797</v>
      </c>
      <c r="G34" s="3">
        <v>1983881</v>
      </c>
      <c r="H34" s="3" t="s">
        <v>333</v>
      </c>
      <c r="I34" s="10">
        <v>45050</v>
      </c>
      <c r="J34" s="12" t="s">
        <v>410</v>
      </c>
      <c r="K34" s="12" t="s">
        <v>410</v>
      </c>
    </row>
    <row r="35" spans="1:11" ht="28.8" x14ac:dyDescent="0.3">
      <c r="A35" s="1" t="s">
        <v>193</v>
      </c>
      <c r="B35" s="3">
        <v>1</v>
      </c>
      <c r="C35" s="3">
        <v>271757</v>
      </c>
      <c r="D35" s="3">
        <v>2122284</v>
      </c>
      <c r="E35" s="3" t="s">
        <v>333</v>
      </c>
      <c r="F35" s="3">
        <v>271940</v>
      </c>
      <c r="G35" s="3">
        <v>2122642</v>
      </c>
      <c r="H35" s="3" t="s">
        <v>333</v>
      </c>
      <c r="I35" s="10">
        <v>45043</v>
      </c>
      <c r="J35" s="12" t="s">
        <v>410</v>
      </c>
      <c r="K35" s="12" t="s">
        <v>410</v>
      </c>
    </row>
    <row r="36" spans="1:11" ht="28.8" x14ac:dyDescent="0.3">
      <c r="B36" s="3">
        <v>2</v>
      </c>
      <c r="C36" s="3">
        <v>271940</v>
      </c>
      <c r="D36" s="3">
        <v>2122642</v>
      </c>
      <c r="E36" s="3" t="s">
        <v>333</v>
      </c>
      <c r="F36" s="3">
        <v>272111</v>
      </c>
      <c r="G36" s="3">
        <v>2123049</v>
      </c>
      <c r="H36" s="3" t="s">
        <v>333</v>
      </c>
      <c r="I36" s="10">
        <v>45043</v>
      </c>
      <c r="J36" s="12" t="s">
        <v>410</v>
      </c>
      <c r="K36" s="12" t="s">
        <v>410</v>
      </c>
    </row>
    <row r="37" spans="1:11" ht="28.8" x14ac:dyDescent="0.3">
      <c r="B37" s="3">
        <v>3</v>
      </c>
      <c r="C37" s="3">
        <v>270557</v>
      </c>
      <c r="D37" s="3">
        <v>2123148</v>
      </c>
      <c r="E37" s="3" t="s">
        <v>333</v>
      </c>
      <c r="F37" s="3">
        <v>270032</v>
      </c>
      <c r="G37" s="3">
        <v>2122797</v>
      </c>
      <c r="H37" s="3" t="s">
        <v>333</v>
      </c>
      <c r="I37" s="10">
        <v>45043</v>
      </c>
      <c r="J37" s="12" t="s">
        <v>411</v>
      </c>
      <c r="K37" s="12" t="s">
        <v>410</v>
      </c>
    </row>
    <row r="38" spans="1:11" ht="28.8" x14ac:dyDescent="0.3">
      <c r="B38" s="3">
        <v>4</v>
      </c>
      <c r="C38" s="3">
        <v>271757</v>
      </c>
      <c r="D38" s="3">
        <v>2122284</v>
      </c>
      <c r="E38" s="3" t="s">
        <v>333</v>
      </c>
      <c r="F38" s="3">
        <v>271940</v>
      </c>
      <c r="G38" s="3">
        <v>2122642</v>
      </c>
      <c r="H38" s="3" t="s">
        <v>333</v>
      </c>
      <c r="I38" s="10">
        <v>45043</v>
      </c>
      <c r="J38" s="12" t="s">
        <v>410</v>
      </c>
      <c r="K38" s="12" t="s">
        <v>410</v>
      </c>
    </row>
    <row r="39" spans="1:11" ht="28.8" x14ac:dyDescent="0.3">
      <c r="B39" s="3">
        <v>5</v>
      </c>
      <c r="C39" s="3">
        <v>271940</v>
      </c>
      <c r="D39" s="3">
        <v>2122642</v>
      </c>
      <c r="E39" s="3" t="s">
        <v>333</v>
      </c>
      <c r="F39" s="3">
        <v>272111</v>
      </c>
      <c r="G39" s="3">
        <v>2123049</v>
      </c>
      <c r="H39" s="3" t="s">
        <v>333</v>
      </c>
      <c r="I39" s="10">
        <v>45043</v>
      </c>
      <c r="J39" s="12" t="s">
        <v>410</v>
      </c>
      <c r="K39" s="12" t="s">
        <v>410</v>
      </c>
    </row>
    <row r="40" spans="1:11" ht="28.8" x14ac:dyDescent="0.3">
      <c r="B40" s="3">
        <v>6</v>
      </c>
      <c r="C40" s="3">
        <v>270032</v>
      </c>
      <c r="D40" s="3">
        <v>2122791</v>
      </c>
      <c r="E40" s="3" t="s">
        <v>333</v>
      </c>
      <c r="F40" s="3">
        <v>270355</v>
      </c>
      <c r="G40" s="3">
        <v>2123036</v>
      </c>
      <c r="H40" s="3" t="s">
        <v>333</v>
      </c>
      <c r="I40" s="10">
        <v>45053</v>
      </c>
      <c r="J40" s="12" t="s">
        <v>410</v>
      </c>
      <c r="K40" s="12" t="s">
        <v>410</v>
      </c>
    </row>
    <row r="41" spans="1:11" ht="28.8" x14ac:dyDescent="0.3">
      <c r="B41" s="3">
        <v>7</v>
      </c>
      <c r="C41" s="3">
        <v>270355</v>
      </c>
      <c r="D41" s="3">
        <v>2123036</v>
      </c>
      <c r="E41" s="3" t="s">
        <v>333</v>
      </c>
      <c r="F41" s="3">
        <v>270557</v>
      </c>
      <c r="G41" s="3">
        <v>2123148</v>
      </c>
      <c r="H41" s="3" t="s">
        <v>333</v>
      </c>
      <c r="I41" s="10">
        <v>45053</v>
      </c>
      <c r="J41" s="12" t="s">
        <v>410</v>
      </c>
      <c r="K41" s="12" t="s">
        <v>411</v>
      </c>
    </row>
    <row r="42" spans="1:11" ht="28.8" x14ac:dyDescent="0.3">
      <c r="B42" s="3">
        <v>8</v>
      </c>
      <c r="C42" s="3">
        <v>272643</v>
      </c>
      <c r="D42" s="3">
        <v>2121613</v>
      </c>
      <c r="E42" s="3" t="s">
        <v>333</v>
      </c>
      <c r="F42" s="3">
        <v>271966</v>
      </c>
      <c r="G42" s="3">
        <v>2121891</v>
      </c>
      <c r="H42" s="3" t="s">
        <v>333</v>
      </c>
      <c r="I42" s="10">
        <v>45054</v>
      </c>
      <c r="J42" s="12" t="s">
        <v>410</v>
      </c>
      <c r="K42" s="12" t="s">
        <v>410</v>
      </c>
    </row>
    <row r="43" spans="1:11" ht="28.8" x14ac:dyDescent="0.3">
      <c r="B43" s="3">
        <v>9</v>
      </c>
      <c r="C43" s="3">
        <v>271797</v>
      </c>
      <c r="D43" s="3">
        <v>2121980</v>
      </c>
      <c r="E43" s="3" t="s">
        <v>333</v>
      </c>
      <c r="F43" s="3">
        <v>271527</v>
      </c>
      <c r="G43" s="3">
        <v>2122271</v>
      </c>
      <c r="H43" s="3" t="s">
        <v>333</v>
      </c>
      <c r="I43" s="10">
        <v>45054</v>
      </c>
      <c r="J43" s="12" t="s">
        <v>410</v>
      </c>
      <c r="K43" s="12" t="s">
        <v>410</v>
      </c>
    </row>
    <row r="44" spans="1:11" ht="28.8" x14ac:dyDescent="0.3">
      <c r="A44" s="1" t="s">
        <v>212</v>
      </c>
      <c r="B44" s="3">
        <v>1</v>
      </c>
      <c r="C44" s="3">
        <v>267174</v>
      </c>
      <c r="D44" s="3">
        <v>2107659</v>
      </c>
      <c r="E44" s="3" t="s">
        <v>333</v>
      </c>
      <c r="F44" s="3">
        <v>267324</v>
      </c>
      <c r="G44" s="3">
        <v>2107216</v>
      </c>
      <c r="H44" s="3" t="s">
        <v>333</v>
      </c>
      <c r="I44" s="10">
        <v>45044</v>
      </c>
      <c r="J44" s="12" t="s">
        <v>410</v>
      </c>
      <c r="K44" s="12" t="s">
        <v>410</v>
      </c>
    </row>
    <row r="45" spans="1:11" ht="28.8" x14ac:dyDescent="0.3">
      <c r="B45" s="3">
        <v>2</v>
      </c>
      <c r="C45" s="3">
        <v>268691</v>
      </c>
      <c r="D45" s="3">
        <v>2106246</v>
      </c>
      <c r="E45" s="3" t="s">
        <v>333</v>
      </c>
      <c r="F45" s="3">
        <v>269030</v>
      </c>
      <c r="G45" s="3">
        <v>2105841</v>
      </c>
      <c r="H45" s="3" t="s">
        <v>333</v>
      </c>
      <c r="I45" s="10">
        <v>45044</v>
      </c>
      <c r="J45" s="12" t="s">
        <v>411</v>
      </c>
      <c r="K45" s="12" t="s">
        <v>410</v>
      </c>
    </row>
    <row r="46" spans="1:11" ht="28.8" x14ac:dyDescent="0.3">
      <c r="B46" s="3">
        <v>3</v>
      </c>
      <c r="C46" s="3">
        <v>268685</v>
      </c>
      <c r="D46" s="3">
        <v>2106256</v>
      </c>
      <c r="E46" s="3" t="s">
        <v>333</v>
      </c>
      <c r="F46" s="3">
        <v>268918</v>
      </c>
      <c r="G46" s="3">
        <v>2106434</v>
      </c>
      <c r="H46" s="3" t="s">
        <v>333</v>
      </c>
      <c r="I46" s="10">
        <v>45044</v>
      </c>
      <c r="J46" s="12" t="s">
        <v>411</v>
      </c>
      <c r="K46" s="12" t="s">
        <v>410</v>
      </c>
    </row>
    <row r="47" spans="1:11" ht="28.8" x14ac:dyDescent="0.3">
      <c r="B47" s="3">
        <v>4</v>
      </c>
      <c r="C47" s="3">
        <v>269318</v>
      </c>
      <c r="D47" s="3">
        <v>2104756</v>
      </c>
      <c r="E47" s="3" t="s">
        <v>333</v>
      </c>
      <c r="F47" s="3">
        <v>269984</v>
      </c>
      <c r="G47" s="3">
        <v>2104158</v>
      </c>
      <c r="H47" s="3" t="s">
        <v>333</v>
      </c>
      <c r="I47" s="10">
        <v>45044</v>
      </c>
      <c r="J47" s="12" t="s">
        <v>411</v>
      </c>
      <c r="K47" s="12" t="s">
        <v>410</v>
      </c>
    </row>
    <row r="48" spans="1:11" ht="28.8" x14ac:dyDescent="0.3">
      <c r="B48" s="3">
        <v>5</v>
      </c>
      <c r="C48" s="3">
        <v>269984</v>
      </c>
      <c r="D48" s="3">
        <v>2104158</v>
      </c>
      <c r="E48" s="3" t="s">
        <v>333</v>
      </c>
      <c r="F48" s="3">
        <v>270749</v>
      </c>
      <c r="G48" s="3">
        <v>2103743</v>
      </c>
      <c r="H48" s="3" t="s">
        <v>333</v>
      </c>
      <c r="I48" s="10">
        <v>45044</v>
      </c>
      <c r="J48" s="12" t="s">
        <v>410</v>
      </c>
      <c r="K48" s="12" t="s">
        <v>410</v>
      </c>
    </row>
    <row r="49" spans="1:11" ht="28.8" x14ac:dyDescent="0.3">
      <c r="A49" s="1" t="s">
        <v>223</v>
      </c>
      <c r="B49" s="3">
        <v>1</v>
      </c>
      <c r="C49" s="3">
        <v>223259</v>
      </c>
      <c r="D49" s="3">
        <v>2120297</v>
      </c>
      <c r="E49" s="3" t="s">
        <v>333</v>
      </c>
      <c r="F49" s="3">
        <v>222949</v>
      </c>
      <c r="G49" s="3">
        <v>2119705</v>
      </c>
      <c r="H49" s="3" t="s">
        <v>333</v>
      </c>
      <c r="I49" s="10">
        <v>45046</v>
      </c>
      <c r="J49" s="12" t="s">
        <v>410</v>
      </c>
      <c r="K49" s="12" t="s">
        <v>410</v>
      </c>
    </row>
    <row r="50" spans="1:11" ht="28.8" x14ac:dyDescent="0.3">
      <c r="B50" s="3">
        <v>2</v>
      </c>
      <c r="C50" s="3">
        <v>223332</v>
      </c>
      <c r="D50" s="3">
        <v>2120290</v>
      </c>
      <c r="E50" s="3" t="s">
        <v>333</v>
      </c>
      <c r="F50" s="3">
        <v>223997</v>
      </c>
      <c r="G50" s="3">
        <v>2120173</v>
      </c>
      <c r="H50" s="3" t="s">
        <v>333</v>
      </c>
      <c r="I50" s="10">
        <v>45046</v>
      </c>
      <c r="J50" s="12" t="s">
        <v>410</v>
      </c>
      <c r="K50" s="12" t="s">
        <v>410</v>
      </c>
    </row>
    <row r="51" spans="1:11" ht="28.8" x14ac:dyDescent="0.3">
      <c r="B51" s="3">
        <v>3</v>
      </c>
      <c r="C51" s="3">
        <v>223997</v>
      </c>
      <c r="D51" s="3">
        <v>2120173</v>
      </c>
      <c r="E51" s="3" t="s">
        <v>333</v>
      </c>
      <c r="F51" s="3">
        <v>223680</v>
      </c>
      <c r="G51" s="3">
        <v>2119907</v>
      </c>
      <c r="H51" s="3" t="s">
        <v>333</v>
      </c>
      <c r="I51" s="10">
        <v>45046</v>
      </c>
      <c r="J51" s="12" t="s">
        <v>410</v>
      </c>
      <c r="K51" s="12" t="s">
        <v>410</v>
      </c>
    </row>
    <row r="52" spans="1:11" ht="28.8" x14ac:dyDescent="0.3">
      <c r="B52" s="3">
        <v>4</v>
      </c>
      <c r="C52" s="3">
        <v>223255</v>
      </c>
      <c r="D52" s="3">
        <v>2120223</v>
      </c>
      <c r="E52" s="3" t="s">
        <v>333</v>
      </c>
      <c r="F52" s="3">
        <v>223435</v>
      </c>
      <c r="G52" s="3">
        <v>2121094</v>
      </c>
      <c r="H52" s="3" t="s">
        <v>333</v>
      </c>
      <c r="I52" s="10">
        <v>45046</v>
      </c>
      <c r="J52" s="12" t="s">
        <v>410</v>
      </c>
      <c r="K52" s="12" t="s">
        <v>410</v>
      </c>
    </row>
    <row r="53" spans="1:11" ht="28.8" hidden="1" x14ac:dyDescent="0.3">
      <c r="A53" s="1" t="s">
        <v>334</v>
      </c>
      <c r="B53" s="3">
        <v>1</v>
      </c>
      <c r="C53" s="3">
        <v>237711</v>
      </c>
      <c r="D53" s="3">
        <v>2010406</v>
      </c>
      <c r="E53" s="3" t="s">
        <v>333</v>
      </c>
      <c r="F53" s="3">
        <v>237363</v>
      </c>
      <c r="G53" s="3">
        <v>2010955</v>
      </c>
      <c r="H53" s="3" t="s">
        <v>333</v>
      </c>
      <c r="I53" s="10">
        <v>45049</v>
      </c>
      <c r="J53" s="12" t="s">
        <v>410</v>
      </c>
      <c r="K53" s="12" t="s">
        <v>410</v>
      </c>
    </row>
    <row r="54" spans="1:11" ht="28.8" hidden="1" x14ac:dyDescent="0.3">
      <c r="B54" s="3">
        <v>2</v>
      </c>
      <c r="C54" s="3">
        <v>239264</v>
      </c>
      <c r="D54" s="3">
        <v>2012908</v>
      </c>
      <c r="E54" s="3" t="s">
        <v>333</v>
      </c>
      <c r="F54" s="3">
        <v>238319</v>
      </c>
      <c r="G54" s="3">
        <v>2012862</v>
      </c>
      <c r="H54" s="3" t="s">
        <v>333</v>
      </c>
      <c r="I54" s="10">
        <v>45049</v>
      </c>
      <c r="J54" s="12" t="s">
        <v>410</v>
      </c>
      <c r="K54" s="12" t="s">
        <v>410</v>
      </c>
    </row>
    <row r="55" spans="1:11" ht="28.8" hidden="1" x14ac:dyDescent="0.3">
      <c r="B55" s="3">
        <v>3</v>
      </c>
      <c r="C55" s="3">
        <v>239264</v>
      </c>
      <c r="D55" s="3">
        <v>2012908</v>
      </c>
      <c r="E55" s="3" t="s">
        <v>333</v>
      </c>
      <c r="F55" s="3">
        <v>239732</v>
      </c>
      <c r="G55" s="3">
        <v>2012900</v>
      </c>
      <c r="H55" s="3" t="s">
        <v>333</v>
      </c>
      <c r="I55" s="10">
        <v>45049</v>
      </c>
      <c r="J55" s="12" t="s">
        <v>410</v>
      </c>
      <c r="K55" s="12" t="s">
        <v>410</v>
      </c>
    </row>
    <row r="56" spans="1:11" ht="28.8" hidden="1" x14ac:dyDescent="0.3">
      <c r="B56" s="3">
        <v>4</v>
      </c>
      <c r="C56" s="3">
        <v>239264</v>
      </c>
      <c r="D56" s="3">
        <v>2012908</v>
      </c>
      <c r="E56" s="3" t="s">
        <v>333</v>
      </c>
      <c r="F56" s="3">
        <v>238319</v>
      </c>
      <c r="G56" s="3">
        <v>2012862</v>
      </c>
      <c r="H56" s="3" t="s">
        <v>333</v>
      </c>
      <c r="I56" s="10">
        <v>45050</v>
      </c>
      <c r="J56" s="12" t="s">
        <v>410</v>
      </c>
      <c r="K56" s="12" t="s">
        <v>410</v>
      </c>
    </row>
    <row r="57" spans="1:11" ht="28.8" hidden="1" x14ac:dyDescent="0.3">
      <c r="B57" s="3">
        <v>5</v>
      </c>
      <c r="C57" s="3">
        <v>239264</v>
      </c>
      <c r="D57" s="3">
        <v>2012908</v>
      </c>
      <c r="E57" s="3" t="s">
        <v>333</v>
      </c>
      <c r="F57" s="3">
        <v>239732</v>
      </c>
      <c r="G57" s="3">
        <v>2012900</v>
      </c>
      <c r="H57" s="3" t="s">
        <v>333</v>
      </c>
      <c r="I57" s="10">
        <v>45050</v>
      </c>
      <c r="J57" s="12" t="s">
        <v>410</v>
      </c>
      <c r="K57" s="12" t="s">
        <v>410</v>
      </c>
    </row>
    <row r="58" spans="1:11" ht="28.8" hidden="1" x14ac:dyDescent="0.3">
      <c r="A58" s="1" t="s">
        <v>82</v>
      </c>
      <c r="B58" s="3">
        <v>1</v>
      </c>
      <c r="C58" s="3">
        <v>261298</v>
      </c>
      <c r="D58" s="3">
        <v>2132247</v>
      </c>
      <c r="E58" s="3" t="s">
        <v>333</v>
      </c>
      <c r="F58" s="3">
        <v>261128</v>
      </c>
      <c r="G58" s="3">
        <v>2131967</v>
      </c>
      <c r="H58" s="3" t="s">
        <v>333</v>
      </c>
      <c r="I58" s="10">
        <v>45052</v>
      </c>
      <c r="J58" s="12" t="s">
        <v>410</v>
      </c>
      <c r="K58" s="12" t="s">
        <v>410</v>
      </c>
    </row>
    <row r="59" spans="1:11" ht="28.8" hidden="1" x14ac:dyDescent="0.3">
      <c r="B59" s="3">
        <v>2</v>
      </c>
      <c r="C59" s="3">
        <v>266172</v>
      </c>
      <c r="D59" s="3">
        <v>2133905</v>
      </c>
      <c r="E59" s="3" t="s">
        <v>333</v>
      </c>
      <c r="F59" s="3">
        <v>265700</v>
      </c>
      <c r="G59" s="3">
        <v>2133841</v>
      </c>
      <c r="H59" s="3" t="s">
        <v>333</v>
      </c>
      <c r="I59" s="10">
        <v>45052</v>
      </c>
      <c r="J59" s="12" t="s">
        <v>410</v>
      </c>
      <c r="K59" s="12" t="s">
        <v>410</v>
      </c>
    </row>
    <row r="60" spans="1:11" ht="28.8" hidden="1" x14ac:dyDescent="0.3">
      <c r="B60" s="3">
        <v>3</v>
      </c>
      <c r="C60" s="3">
        <v>266172</v>
      </c>
      <c r="D60" s="3">
        <v>2133905</v>
      </c>
      <c r="E60" s="3" t="s">
        <v>333</v>
      </c>
      <c r="F60" s="3">
        <v>265700</v>
      </c>
      <c r="G60" s="3">
        <v>2133841</v>
      </c>
      <c r="H60" s="3" t="s">
        <v>333</v>
      </c>
      <c r="I60" s="10">
        <v>45053</v>
      </c>
      <c r="J60" s="12" t="s">
        <v>410</v>
      </c>
      <c r="K60" s="12" t="s">
        <v>410</v>
      </c>
    </row>
    <row r="61" spans="1:11" ht="28.8" x14ac:dyDescent="0.3">
      <c r="A61" s="1" t="s">
        <v>66</v>
      </c>
      <c r="B61" s="3">
        <v>1</v>
      </c>
      <c r="C61" s="3">
        <v>244516</v>
      </c>
      <c r="D61" s="3">
        <v>2112791</v>
      </c>
      <c r="E61" s="3" t="s">
        <v>333</v>
      </c>
      <c r="F61" s="3">
        <v>243818</v>
      </c>
      <c r="G61" s="3">
        <v>2112316</v>
      </c>
      <c r="H61" s="3" t="s">
        <v>333</v>
      </c>
      <c r="I61" s="10">
        <v>45054</v>
      </c>
      <c r="J61" s="12" t="s">
        <v>410</v>
      </c>
      <c r="K61" s="12" t="s">
        <v>410</v>
      </c>
    </row>
    <row r="62" spans="1:11" ht="28.8" x14ac:dyDescent="0.3">
      <c r="B62" s="3">
        <v>2</v>
      </c>
      <c r="C62" s="3">
        <v>244516</v>
      </c>
      <c r="D62" s="3">
        <v>2112791</v>
      </c>
      <c r="E62" s="3" t="s">
        <v>333</v>
      </c>
      <c r="F62" s="3">
        <v>245137</v>
      </c>
      <c r="G62" s="3">
        <v>2113030</v>
      </c>
      <c r="H62" s="3" t="s">
        <v>333</v>
      </c>
      <c r="I62" s="10">
        <v>45054</v>
      </c>
      <c r="J62" s="12" t="s">
        <v>410</v>
      </c>
      <c r="K62" s="12" t="s">
        <v>410</v>
      </c>
    </row>
    <row r="63" spans="1:11" ht="28.8" x14ac:dyDescent="0.3">
      <c r="B63" s="3">
        <v>3</v>
      </c>
      <c r="C63" s="3">
        <v>244516</v>
      </c>
      <c r="D63" s="3">
        <v>2112791</v>
      </c>
      <c r="E63" s="3" t="s">
        <v>333</v>
      </c>
      <c r="F63" s="3">
        <v>243818</v>
      </c>
      <c r="G63" s="3">
        <v>2112316</v>
      </c>
      <c r="H63" s="3" t="s">
        <v>333</v>
      </c>
      <c r="I63" s="10">
        <v>45055</v>
      </c>
      <c r="J63" s="12" t="s">
        <v>410</v>
      </c>
      <c r="K63" s="12" t="s">
        <v>410</v>
      </c>
    </row>
    <row r="64" spans="1:11" ht="28.8" x14ac:dyDescent="0.3">
      <c r="B64" s="3">
        <v>4</v>
      </c>
      <c r="C64" s="3">
        <v>243818</v>
      </c>
      <c r="D64" s="3">
        <v>2112316</v>
      </c>
      <c r="E64" s="3" t="s">
        <v>333</v>
      </c>
      <c r="F64" s="3">
        <v>242999</v>
      </c>
      <c r="G64" s="3">
        <v>2112398</v>
      </c>
      <c r="H64" s="3" t="s">
        <v>333</v>
      </c>
      <c r="I64" s="10">
        <v>45055</v>
      </c>
      <c r="J64" s="12" t="s">
        <v>410</v>
      </c>
      <c r="K64" s="12" t="s">
        <v>410</v>
      </c>
    </row>
    <row r="65" spans="1:11" ht="28.8" x14ac:dyDescent="0.3">
      <c r="B65" s="3">
        <v>5</v>
      </c>
      <c r="C65" s="3">
        <v>242929</v>
      </c>
      <c r="D65" s="3">
        <v>2110949</v>
      </c>
      <c r="E65" s="3" t="s">
        <v>333</v>
      </c>
      <c r="F65" s="3">
        <v>243379</v>
      </c>
      <c r="G65" s="3">
        <v>2110753</v>
      </c>
      <c r="H65" s="3" t="s">
        <v>333</v>
      </c>
      <c r="I65" s="10">
        <v>45055</v>
      </c>
      <c r="J65" s="12" t="s">
        <v>410</v>
      </c>
      <c r="K65" s="12" t="s">
        <v>410</v>
      </c>
    </row>
    <row r="66" spans="1:11" ht="28.8" x14ac:dyDescent="0.3">
      <c r="A66" s="1" t="s">
        <v>335</v>
      </c>
      <c r="B66" s="3">
        <v>1</v>
      </c>
      <c r="C66" s="3">
        <v>216798</v>
      </c>
      <c r="D66" s="3">
        <v>2131610</v>
      </c>
      <c r="E66" s="3" t="s">
        <v>333</v>
      </c>
      <c r="F66" s="3">
        <v>216429</v>
      </c>
      <c r="G66" s="3">
        <v>2132265</v>
      </c>
      <c r="H66" s="3" t="s">
        <v>333</v>
      </c>
      <c r="I66" s="10">
        <v>45056</v>
      </c>
      <c r="J66" s="12" t="s">
        <v>411</v>
      </c>
      <c r="K66" s="12" t="s">
        <v>410</v>
      </c>
    </row>
    <row r="67" spans="1:11" ht="28.8" x14ac:dyDescent="0.3">
      <c r="B67" s="3">
        <v>2</v>
      </c>
      <c r="C67" s="3">
        <v>216429</v>
      </c>
      <c r="D67" s="3">
        <v>2132265</v>
      </c>
      <c r="E67" s="3" t="s">
        <v>333</v>
      </c>
      <c r="F67" s="3">
        <v>216026</v>
      </c>
      <c r="G67" s="3">
        <v>2132918</v>
      </c>
      <c r="H67" s="3" t="s">
        <v>333</v>
      </c>
      <c r="I67" s="10">
        <v>45056</v>
      </c>
      <c r="J67" s="12" t="s">
        <v>410</v>
      </c>
      <c r="K67" s="12" t="s">
        <v>410</v>
      </c>
    </row>
    <row r="68" spans="1:11" ht="28.8" x14ac:dyDescent="0.3">
      <c r="B68" s="3">
        <v>3</v>
      </c>
      <c r="C68" s="3">
        <v>215526</v>
      </c>
      <c r="D68" s="3">
        <v>2132423</v>
      </c>
      <c r="E68" s="3" t="s">
        <v>333</v>
      </c>
      <c r="F68" s="3">
        <v>215539</v>
      </c>
      <c r="G68" s="3">
        <v>2131768</v>
      </c>
      <c r="H68" s="3" t="s">
        <v>333</v>
      </c>
      <c r="I68" s="10">
        <v>45056</v>
      </c>
      <c r="J68" s="12" t="s">
        <v>410</v>
      </c>
      <c r="K68" s="12" t="s">
        <v>410</v>
      </c>
    </row>
    <row r="69" spans="1:11" ht="28.8" x14ac:dyDescent="0.3">
      <c r="B69" s="3">
        <v>4</v>
      </c>
      <c r="C69" s="3">
        <v>215539</v>
      </c>
      <c r="D69" s="3">
        <v>2131768</v>
      </c>
      <c r="E69" s="3" t="s">
        <v>333</v>
      </c>
      <c r="F69" s="3">
        <v>216501</v>
      </c>
      <c r="G69" s="3">
        <v>2131641</v>
      </c>
      <c r="H69" s="3" t="s">
        <v>333</v>
      </c>
      <c r="I69" s="10">
        <v>45056</v>
      </c>
      <c r="J69" s="12" t="s">
        <v>410</v>
      </c>
      <c r="K69" s="12" t="s">
        <v>410</v>
      </c>
    </row>
    <row r="70" spans="1:11" ht="28.8" x14ac:dyDescent="0.3">
      <c r="B70" s="3">
        <v>5</v>
      </c>
      <c r="C70" s="3">
        <v>215526</v>
      </c>
      <c r="D70" s="3">
        <v>2132423</v>
      </c>
      <c r="E70" s="3" t="s">
        <v>333</v>
      </c>
      <c r="F70" s="3">
        <v>215539</v>
      </c>
      <c r="G70" s="3">
        <v>2131768</v>
      </c>
      <c r="H70" s="3" t="s">
        <v>333</v>
      </c>
      <c r="I70" s="10">
        <v>45057</v>
      </c>
      <c r="J70" s="12" t="s">
        <v>410</v>
      </c>
      <c r="K70" s="12" t="s">
        <v>410</v>
      </c>
    </row>
    <row r="71" spans="1:11" ht="28.8" x14ac:dyDescent="0.3">
      <c r="B71" s="3">
        <v>6</v>
      </c>
      <c r="C71" s="3">
        <v>215539</v>
      </c>
      <c r="D71" s="3">
        <v>2131768</v>
      </c>
      <c r="E71" s="3" t="s">
        <v>333</v>
      </c>
      <c r="F71" s="3">
        <v>216501</v>
      </c>
      <c r="G71" s="3">
        <v>2131641</v>
      </c>
      <c r="H71" s="3" t="s">
        <v>333</v>
      </c>
      <c r="I71" s="10">
        <v>45057</v>
      </c>
      <c r="J71" s="12" t="s">
        <v>410</v>
      </c>
      <c r="K71" s="12" t="s">
        <v>410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362A-6288-40D4-8585-C5A569AA4208}">
  <dimension ref="A1:U49"/>
  <sheetViews>
    <sheetView topLeftCell="A22" workbookViewId="0">
      <selection activeCell="C49" sqref="C49"/>
    </sheetView>
  </sheetViews>
  <sheetFormatPr defaultColWidth="11.44140625" defaultRowHeight="15.6" x14ac:dyDescent="0.3"/>
  <cols>
    <col min="1" max="1" width="10.5546875" style="1" bestFit="1" customWidth="1"/>
    <col min="2" max="2" width="15.88671875" style="1" bestFit="1" customWidth="1"/>
    <col min="3" max="3" width="30.44140625" style="1" bestFit="1" customWidth="1"/>
    <col min="4" max="4" width="34.33203125" style="1" bestFit="1" customWidth="1"/>
    <col min="5" max="5" width="12.5546875" style="3" bestFit="1" customWidth="1"/>
    <col min="6" max="6" width="10.88671875" style="3" bestFit="1" customWidth="1"/>
    <col min="7" max="7" width="6.6640625" style="3" bestFit="1" customWidth="1"/>
    <col min="8" max="9" width="11.44140625" style="1"/>
    <col min="10" max="10" width="10.109375" style="1" bestFit="1" customWidth="1"/>
    <col min="11" max="11" width="13" style="1" bestFit="1" customWidth="1"/>
    <col min="12" max="12" width="23.88671875" style="1" bestFit="1" customWidth="1"/>
    <col min="13" max="13" width="19.44140625" style="1" bestFit="1" customWidth="1"/>
    <col min="14" max="14" width="24.88671875" style="1" customWidth="1"/>
    <col min="15" max="15" width="12.5546875" style="1" bestFit="1" customWidth="1"/>
    <col min="16" max="16" width="10.88671875" style="1" bestFit="1" customWidth="1"/>
    <col min="17" max="17" width="6.6640625" style="1" bestFit="1" customWidth="1"/>
    <col min="18" max="16384" width="11.44140625" style="1"/>
  </cols>
  <sheetData>
    <row r="1" spans="1:21" x14ac:dyDescent="0.3">
      <c r="A1" s="11" t="s">
        <v>404</v>
      </c>
      <c r="B1" s="11"/>
      <c r="C1" s="11"/>
      <c r="D1" s="11"/>
      <c r="E1" s="11"/>
      <c r="F1" s="11"/>
      <c r="G1" s="11"/>
      <c r="J1" s="11" t="s">
        <v>371</v>
      </c>
      <c r="K1" s="11"/>
      <c r="L1" s="11"/>
      <c r="M1" s="11"/>
      <c r="N1" s="11"/>
      <c r="O1" s="11"/>
      <c r="P1" s="11"/>
      <c r="Q1" s="11"/>
      <c r="T1" s="1" t="s">
        <v>406</v>
      </c>
    </row>
    <row r="2" spans="1:21" x14ac:dyDescent="0.3">
      <c r="A2" s="9" t="s">
        <v>336</v>
      </c>
      <c r="B2" s="9" t="s">
        <v>337</v>
      </c>
      <c r="C2" s="9" t="s">
        <v>338</v>
      </c>
      <c r="D2" s="9" t="s">
        <v>7</v>
      </c>
      <c r="E2" s="8" t="s">
        <v>339</v>
      </c>
      <c r="F2" s="8" t="s">
        <v>340</v>
      </c>
      <c r="G2" s="8" t="s">
        <v>341</v>
      </c>
      <c r="J2" s="9" t="s">
        <v>336</v>
      </c>
      <c r="K2" s="9" t="s">
        <v>337</v>
      </c>
      <c r="L2" s="9" t="s">
        <v>338</v>
      </c>
      <c r="M2" s="9" t="s">
        <v>7</v>
      </c>
      <c r="N2" s="9" t="s">
        <v>373</v>
      </c>
      <c r="O2" s="9" t="s">
        <v>339</v>
      </c>
      <c r="P2" s="9" t="s">
        <v>340</v>
      </c>
      <c r="Q2" s="9" t="s">
        <v>372</v>
      </c>
    </row>
    <row r="3" spans="1:21" x14ac:dyDescent="0.3">
      <c r="A3" s="1" t="s">
        <v>342</v>
      </c>
      <c r="B3" s="1" t="s">
        <v>366</v>
      </c>
      <c r="C3" s="7" t="s">
        <v>84</v>
      </c>
      <c r="D3" s="1" t="s">
        <v>91</v>
      </c>
      <c r="E3" s="3" t="s">
        <v>344</v>
      </c>
      <c r="G3" s="3" t="s">
        <v>368</v>
      </c>
      <c r="J3" s="1" t="s">
        <v>352</v>
      </c>
      <c r="K3" s="1" t="s">
        <v>353</v>
      </c>
      <c r="L3" s="7" t="s">
        <v>377</v>
      </c>
      <c r="M3" s="1" t="s">
        <v>378</v>
      </c>
      <c r="N3" s="1" t="s">
        <v>380</v>
      </c>
      <c r="O3" s="1" t="s">
        <v>344</v>
      </c>
      <c r="P3" s="1" t="s">
        <v>370</v>
      </c>
      <c r="Q3" s="1" t="s">
        <v>368</v>
      </c>
    </row>
    <row r="4" spans="1:21" x14ac:dyDescent="0.3">
      <c r="A4" s="1" t="s">
        <v>342</v>
      </c>
      <c r="B4" s="1" t="s">
        <v>366</v>
      </c>
      <c r="C4" s="7" t="s">
        <v>50</v>
      </c>
      <c r="D4" s="1" t="s">
        <v>49</v>
      </c>
      <c r="E4" s="3" t="s">
        <v>344</v>
      </c>
      <c r="G4" s="3" t="s">
        <v>369</v>
      </c>
      <c r="J4" s="1" t="s">
        <v>352</v>
      </c>
      <c r="K4" s="1" t="s">
        <v>353</v>
      </c>
      <c r="L4" s="7" t="s">
        <v>401</v>
      </c>
      <c r="M4" s="1" t="s">
        <v>387</v>
      </c>
      <c r="N4" s="1" t="s">
        <v>389</v>
      </c>
      <c r="O4" s="1" t="s">
        <v>388</v>
      </c>
      <c r="Q4" s="1" t="s">
        <v>368</v>
      </c>
    </row>
    <row r="5" spans="1:21" x14ac:dyDescent="0.3">
      <c r="A5" s="1" t="s">
        <v>342</v>
      </c>
      <c r="B5" s="1" t="s">
        <v>343</v>
      </c>
      <c r="C5" s="7" t="s">
        <v>54</v>
      </c>
      <c r="D5" s="1" t="s">
        <v>53</v>
      </c>
      <c r="E5" s="3" t="s">
        <v>344</v>
      </c>
      <c r="G5" s="3" t="s">
        <v>368</v>
      </c>
      <c r="J5" s="1" t="s">
        <v>352</v>
      </c>
      <c r="K5" s="1" t="s">
        <v>392</v>
      </c>
      <c r="L5" s="7" t="s">
        <v>391</v>
      </c>
      <c r="M5" s="1" t="s">
        <v>390</v>
      </c>
      <c r="N5" s="1" t="s">
        <v>389</v>
      </c>
      <c r="O5" s="1" t="s">
        <v>388</v>
      </c>
      <c r="Q5" s="1" t="s">
        <v>368</v>
      </c>
      <c r="U5" s="7"/>
    </row>
    <row r="6" spans="1:21" x14ac:dyDescent="0.3">
      <c r="A6" s="1" t="s">
        <v>342</v>
      </c>
      <c r="B6" s="1" t="s">
        <v>343</v>
      </c>
      <c r="C6" s="7" t="s">
        <v>85</v>
      </c>
      <c r="D6" s="1" t="s">
        <v>92</v>
      </c>
      <c r="E6" s="3" t="s">
        <v>344</v>
      </c>
      <c r="G6" s="3" t="s">
        <v>368</v>
      </c>
      <c r="J6" s="1" t="s">
        <v>352</v>
      </c>
      <c r="K6" s="1" t="s">
        <v>374</v>
      </c>
      <c r="L6" s="7" t="s">
        <v>375</v>
      </c>
      <c r="M6" s="1" t="s">
        <v>376</v>
      </c>
      <c r="N6" s="1" t="s">
        <v>379</v>
      </c>
      <c r="O6" s="1" t="s">
        <v>344</v>
      </c>
      <c r="Q6" s="1" t="s">
        <v>368</v>
      </c>
    </row>
    <row r="7" spans="1:21" x14ac:dyDescent="0.3">
      <c r="A7" s="1" t="s">
        <v>342</v>
      </c>
      <c r="B7" s="1" t="s">
        <v>343</v>
      </c>
      <c r="C7" s="7" t="s">
        <v>58</v>
      </c>
      <c r="D7" s="1" t="s">
        <v>365</v>
      </c>
      <c r="E7" s="3" t="s">
        <v>344</v>
      </c>
      <c r="G7" s="3" t="s">
        <v>368</v>
      </c>
      <c r="J7" s="1" t="s">
        <v>352</v>
      </c>
      <c r="K7" s="1" t="s">
        <v>361</v>
      </c>
      <c r="L7" s="7" t="s">
        <v>384</v>
      </c>
      <c r="M7" s="1" t="s">
        <v>385</v>
      </c>
      <c r="N7" s="1" t="s">
        <v>386</v>
      </c>
      <c r="O7" s="1" t="s">
        <v>344</v>
      </c>
      <c r="Q7" s="1" t="s">
        <v>368</v>
      </c>
    </row>
    <row r="8" spans="1:21" x14ac:dyDescent="0.3">
      <c r="A8" s="1" t="s">
        <v>342</v>
      </c>
      <c r="B8" s="1" t="s">
        <v>343</v>
      </c>
      <c r="C8" s="7" t="s">
        <v>73</v>
      </c>
      <c r="D8" s="1" t="s">
        <v>76</v>
      </c>
      <c r="E8" s="3" t="s">
        <v>344</v>
      </c>
      <c r="G8" s="3" t="s">
        <v>368</v>
      </c>
      <c r="J8" s="1" t="s">
        <v>352</v>
      </c>
      <c r="K8" s="1" t="s">
        <v>361</v>
      </c>
      <c r="L8" s="7" t="s">
        <v>402</v>
      </c>
      <c r="M8" s="1" t="s">
        <v>403</v>
      </c>
      <c r="N8" s="1" t="s">
        <v>405</v>
      </c>
      <c r="O8" s="1" t="s">
        <v>344</v>
      </c>
      <c r="Q8" s="1" t="s">
        <v>368</v>
      </c>
    </row>
    <row r="9" spans="1:21" x14ac:dyDescent="0.3">
      <c r="A9" s="1" t="s">
        <v>342</v>
      </c>
      <c r="B9" s="1" t="s">
        <v>343</v>
      </c>
      <c r="C9" s="7" t="s">
        <v>38</v>
      </c>
      <c r="D9" s="1" t="s">
        <v>37</v>
      </c>
      <c r="E9" s="3" t="s">
        <v>344</v>
      </c>
      <c r="G9" s="3" t="s">
        <v>368</v>
      </c>
      <c r="J9" s="1" t="s">
        <v>352</v>
      </c>
      <c r="K9" s="1" t="s">
        <v>397</v>
      </c>
      <c r="L9" s="7" t="s">
        <v>398</v>
      </c>
      <c r="M9" s="1" t="s">
        <v>399</v>
      </c>
      <c r="N9" s="1" t="s">
        <v>400</v>
      </c>
      <c r="O9" s="1" t="s">
        <v>344</v>
      </c>
      <c r="Q9" s="1" t="s">
        <v>369</v>
      </c>
    </row>
    <row r="10" spans="1:21" x14ac:dyDescent="0.3">
      <c r="A10" s="1" t="s">
        <v>342</v>
      </c>
      <c r="B10" s="1" t="s">
        <v>343</v>
      </c>
      <c r="C10" s="7" t="s">
        <v>231</v>
      </c>
      <c r="D10" s="1" t="s">
        <v>232</v>
      </c>
      <c r="E10" s="3" t="s">
        <v>344</v>
      </c>
      <c r="F10" s="3" t="s">
        <v>370</v>
      </c>
      <c r="G10" s="3" t="s">
        <v>368</v>
      </c>
      <c r="J10" s="1" t="s">
        <v>364</v>
      </c>
      <c r="K10" s="1" t="s">
        <v>381</v>
      </c>
      <c r="L10" s="7" t="s">
        <v>382</v>
      </c>
      <c r="M10" s="1" t="s">
        <v>383</v>
      </c>
      <c r="N10" s="1" t="s">
        <v>380</v>
      </c>
      <c r="O10" s="1" t="s">
        <v>344</v>
      </c>
      <c r="P10" s="1" t="s">
        <v>393</v>
      </c>
      <c r="Q10" s="1" t="s">
        <v>396</v>
      </c>
    </row>
    <row r="11" spans="1:21" x14ac:dyDescent="0.3">
      <c r="A11" s="1" t="s">
        <v>342</v>
      </c>
      <c r="B11" s="1" t="s">
        <v>345</v>
      </c>
      <c r="C11" s="7" t="s">
        <v>104</v>
      </c>
      <c r="D11" s="1" t="s">
        <v>346</v>
      </c>
      <c r="E11" s="3" t="s">
        <v>344</v>
      </c>
      <c r="G11" s="3" t="s">
        <v>368</v>
      </c>
    </row>
    <row r="12" spans="1:21" x14ac:dyDescent="0.3">
      <c r="A12" s="1" t="s">
        <v>342</v>
      </c>
      <c r="B12" s="1" t="s">
        <v>345</v>
      </c>
      <c r="C12" s="7" t="s">
        <v>151</v>
      </c>
      <c r="D12" s="1" t="s">
        <v>155</v>
      </c>
      <c r="E12" s="3" t="s">
        <v>344</v>
      </c>
      <c r="G12" s="3" t="s">
        <v>368</v>
      </c>
    </row>
    <row r="13" spans="1:21" x14ac:dyDescent="0.3">
      <c r="A13" s="1" t="s">
        <v>342</v>
      </c>
      <c r="B13" s="1" t="s">
        <v>345</v>
      </c>
      <c r="C13" s="7" t="s">
        <v>60</v>
      </c>
      <c r="D13" s="1" t="s">
        <v>90</v>
      </c>
      <c r="E13" s="3" t="s">
        <v>344</v>
      </c>
      <c r="G13" s="3" t="s">
        <v>368</v>
      </c>
    </row>
    <row r="14" spans="1:21" x14ac:dyDescent="0.3">
      <c r="A14" s="1" t="s">
        <v>342</v>
      </c>
      <c r="B14" s="1" t="s">
        <v>347</v>
      </c>
      <c r="C14" s="7" t="s">
        <v>52</v>
      </c>
      <c r="D14" s="1" t="s">
        <v>51</v>
      </c>
      <c r="E14" s="3" t="s">
        <v>344</v>
      </c>
      <c r="G14" s="3" t="s">
        <v>368</v>
      </c>
    </row>
    <row r="15" spans="1:21" x14ac:dyDescent="0.3">
      <c r="A15" s="1" t="s">
        <v>342</v>
      </c>
      <c r="B15" s="1" t="s">
        <v>348</v>
      </c>
      <c r="C15" s="7" t="s">
        <v>56</v>
      </c>
      <c r="D15" s="1" t="s">
        <v>55</v>
      </c>
      <c r="E15" s="3" t="s">
        <v>344</v>
      </c>
      <c r="F15" s="3" t="s">
        <v>370</v>
      </c>
      <c r="G15" s="3" t="s">
        <v>368</v>
      </c>
    </row>
    <row r="16" spans="1:21" x14ac:dyDescent="0.3">
      <c r="A16" s="1" t="s">
        <v>342</v>
      </c>
      <c r="B16" s="1" t="s">
        <v>349</v>
      </c>
      <c r="C16" s="7" t="s">
        <v>123</v>
      </c>
      <c r="D16" s="1" t="s">
        <v>138</v>
      </c>
      <c r="E16" s="3" t="s">
        <v>344</v>
      </c>
      <c r="G16" s="3" t="s">
        <v>368</v>
      </c>
    </row>
    <row r="17" spans="1:7" x14ac:dyDescent="0.3">
      <c r="A17" s="1" t="s">
        <v>350</v>
      </c>
      <c r="B17" s="1" t="s">
        <v>351</v>
      </c>
      <c r="C17" s="7" t="s">
        <v>83</v>
      </c>
      <c r="D17" s="1" t="s">
        <v>89</v>
      </c>
      <c r="E17" s="3" t="s">
        <v>344</v>
      </c>
      <c r="F17" s="3" t="s">
        <v>370</v>
      </c>
      <c r="G17" s="3" t="s">
        <v>368</v>
      </c>
    </row>
    <row r="18" spans="1:7" x14ac:dyDescent="0.3">
      <c r="A18" s="1" t="s">
        <v>352</v>
      </c>
      <c r="B18" s="1" t="s">
        <v>353</v>
      </c>
      <c r="C18" s="7" t="s">
        <v>63</v>
      </c>
      <c r="D18" s="1" t="s">
        <v>62</v>
      </c>
      <c r="E18" s="3" t="s">
        <v>344</v>
      </c>
      <c r="G18" s="3" t="s">
        <v>369</v>
      </c>
    </row>
    <row r="19" spans="1:7" x14ac:dyDescent="0.3">
      <c r="A19" s="1" t="s">
        <v>352</v>
      </c>
      <c r="B19" s="1" t="s">
        <v>353</v>
      </c>
      <c r="C19" s="7" t="s">
        <v>22</v>
      </c>
      <c r="D19" s="1" t="s">
        <v>21</v>
      </c>
      <c r="E19" s="3" t="s">
        <v>344</v>
      </c>
      <c r="G19" s="3" t="s">
        <v>368</v>
      </c>
    </row>
    <row r="20" spans="1:7" x14ac:dyDescent="0.3">
      <c r="A20" s="1" t="s">
        <v>352</v>
      </c>
      <c r="B20" s="1" t="s">
        <v>353</v>
      </c>
      <c r="C20" s="7" t="s">
        <v>100</v>
      </c>
      <c r="D20" s="1" t="s">
        <v>105</v>
      </c>
      <c r="E20" s="3" t="s">
        <v>344</v>
      </c>
      <c r="G20" s="3" t="s">
        <v>368</v>
      </c>
    </row>
    <row r="21" spans="1:7" x14ac:dyDescent="0.3">
      <c r="A21" s="1" t="s">
        <v>352</v>
      </c>
      <c r="B21" s="1" t="s">
        <v>353</v>
      </c>
      <c r="C21" s="7" t="s">
        <v>29</v>
      </c>
      <c r="D21" s="1" t="s">
        <v>28</v>
      </c>
      <c r="E21" s="3" t="s">
        <v>354</v>
      </c>
      <c r="G21" s="3" t="s">
        <v>369</v>
      </c>
    </row>
    <row r="22" spans="1:7" x14ac:dyDescent="0.3">
      <c r="A22" s="1" t="s">
        <v>352</v>
      </c>
      <c r="B22" s="1" t="s">
        <v>355</v>
      </c>
      <c r="C22" s="7" t="s">
        <v>33</v>
      </c>
      <c r="D22" s="1" t="s">
        <v>32</v>
      </c>
      <c r="E22" s="3" t="s">
        <v>344</v>
      </c>
      <c r="G22" s="3" t="s">
        <v>368</v>
      </c>
    </row>
    <row r="23" spans="1:7" x14ac:dyDescent="0.3">
      <c r="A23" s="1" t="s">
        <v>352</v>
      </c>
      <c r="B23" s="1" t="s">
        <v>355</v>
      </c>
      <c r="C23" s="7" t="s">
        <v>103</v>
      </c>
      <c r="D23" s="1" t="s">
        <v>108</v>
      </c>
      <c r="E23" s="3" t="s">
        <v>344</v>
      </c>
      <c r="F23" s="3" t="s">
        <v>370</v>
      </c>
      <c r="G23" s="3" t="s">
        <v>368</v>
      </c>
    </row>
    <row r="24" spans="1:7" x14ac:dyDescent="0.3">
      <c r="A24" s="1" t="s">
        <v>352</v>
      </c>
      <c r="B24" s="1" t="s">
        <v>355</v>
      </c>
      <c r="C24" s="7" t="s">
        <v>210</v>
      </c>
      <c r="D24" s="1" t="s">
        <v>211</v>
      </c>
      <c r="E24" s="3" t="s">
        <v>344</v>
      </c>
      <c r="F24" s="3" t="s">
        <v>370</v>
      </c>
      <c r="G24" s="3" t="s">
        <v>368</v>
      </c>
    </row>
    <row r="25" spans="1:7" x14ac:dyDescent="0.3">
      <c r="A25" s="1" t="s">
        <v>352</v>
      </c>
      <c r="B25" s="1" t="s">
        <v>356</v>
      </c>
      <c r="C25" s="7" t="s">
        <v>65</v>
      </c>
      <c r="D25" s="1" t="s">
        <v>64</v>
      </c>
      <c r="E25" s="3" t="s">
        <v>344</v>
      </c>
      <c r="F25" s="3" t="s">
        <v>393</v>
      </c>
      <c r="G25" s="3" t="s">
        <v>368</v>
      </c>
    </row>
    <row r="26" spans="1:7" x14ac:dyDescent="0.3">
      <c r="A26" s="1" t="s">
        <v>352</v>
      </c>
      <c r="B26" s="1" t="s">
        <v>357</v>
      </c>
      <c r="C26" s="7" t="s">
        <v>35</v>
      </c>
      <c r="D26" s="1" t="s">
        <v>34</v>
      </c>
      <c r="E26" s="3" t="s">
        <v>354</v>
      </c>
      <c r="F26" s="3" t="s">
        <v>395</v>
      </c>
      <c r="G26" s="3" t="s">
        <v>394</v>
      </c>
    </row>
    <row r="27" spans="1:7" x14ac:dyDescent="0.3">
      <c r="A27" s="1" t="s">
        <v>352</v>
      </c>
      <c r="B27" s="1" t="s">
        <v>357</v>
      </c>
      <c r="C27" s="7" t="s">
        <v>194</v>
      </c>
      <c r="D27" s="1" t="s">
        <v>207</v>
      </c>
      <c r="E27" s="3" t="s">
        <v>344</v>
      </c>
      <c r="F27" s="3" t="s">
        <v>393</v>
      </c>
      <c r="G27" s="3" t="s">
        <v>368</v>
      </c>
    </row>
    <row r="28" spans="1:7" x14ac:dyDescent="0.3">
      <c r="A28" s="1" t="s">
        <v>352</v>
      </c>
      <c r="B28" s="1" t="s">
        <v>358</v>
      </c>
      <c r="C28" s="7" t="s">
        <v>18</v>
      </c>
      <c r="D28" s="1" t="s">
        <v>17</v>
      </c>
      <c r="E28" s="3" t="s">
        <v>354</v>
      </c>
      <c r="G28" s="3" t="s">
        <v>368</v>
      </c>
    </row>
    <row r="29" spans="1:7" x14ac:dyDescent="0.3">
      <c r="A29" s="1" t="s">
        <v>352</v>
      </c>
      <c r="B29" s="1" t="s">
        <v>358</v>
      </c>
      <c r="C29" s="7" t="s">
        <v>102</v>
      </c>
      <c r="D29" s="1" t="s">
        <v>107</v>
      </c>
      <c r="E29" s="3" t="s">
        <v>354</v>
      </c>
      <c r="G29" s="3" t="s">
        <v>368</v>
      </c>
    </row>
    <row r="30" spans="1:7" x14ac:dyDescent="0.3">
      <c r="A30" s="1" t="s">
        <v>352</v>
      </c>
      <c r="B30" s="1" t="s">
        <v>359</v>
      </c>
      <c r="C30" s="7" t="s">
        <v>120</v>
      </c>
      <c r="D30" s="1" t="s">
        <v>133</v>
      </c>
      <c r="E30" s="3" t="s">
        <v>344</v>
      </c>
      <c r="F30" s="3" t="s">
        <v>370</v>
      </c>
      <c r="G30" s="3" t="s">
        <v>368</v>
      </c>
    </row>
    <row r="31" spans="1:7" x14ac:dyDescent="0.3">
      <c r="A31" s="1" t="s">
        <v>352</v>
      </c>
      <c r="B31" s="1" t="s">
        <v>360</v>
      </c>
      <c r="C31" s="7" t="s">
        <v>70</v>
      </c>
      <c r="D31" s="1" t="s">
        <v>71</v>
      </c>
      <c r="E31" s="3" t="s">
        <v>354</v>
      </c>
      <c r="G31" s="3" t="s">
        <v>368</v>
      </c>
    </row>
    <row r="32" spans="1:7" x14ac:dyDescent="0.3">
      <c r="A32" s="1" t="s">
        <v>352</v>
      </c>
      <c r="B32" s="1" t="s">
        <v>360</v>
      </c>
      <c r="C32" s="7" t="s">
        <v>41</v>
      </c>
      <c r="D32" s="1" t="s">
        <v>40</v>
      </c>
      <c r="E32" s="3" t="s">
        <v>354</v>
      </c>
      <c r="G32" s="3" t="s">
        <v>369</v>
      </c>
    </row>
    <row r="33" spans="1:7" x14ac:dyDescent="0.3">
      <c r="A33" s="1" t="s">
        <v>352</v>
      </c>
      <c r="B33" s="1" t="s">
        <v>360</v>
      </c>
      <c r="C33" s="7" t="s">
        <v>122</v>
      </c>
      <c r="D33" s="1" t="s">
        <v>40</v>
      </c>
      <c r="E33" s="3" t="s">
        <v>344</v>
      </c>
      <c r="G33" s="3" t="s">
        <v>369</v>
      </c>
    </row>
    <row r="34" spans="1:7" x14ac:dyDescent="0.3">
      <c r="A34" s="1" t="s">
        <v>352</v>
      </c>
      <c r="B34" s="1" t="s">
        <v>361</v>
      </c>
      <c r="C34" s="7" t="s">
        <v>67</v>
      </c>
      <c r="D34" s="1" t="s">
        <v>68</v>
      </c>
      <c r="E34" s="3" t="s">
        <v>344</v>
      </c>
      <c r="G34" s="3" t="s">
        <v>368</v>
      </c>
    </row>
    <row r="35" spans="1:7" x14ac:dyDescent="0.3">
      <c r="A35" s="1" t="s">
        <v>352</v>
      </c>
      <c r="B35" s="1" t="s">
        <v>361</v>
      </c>
      <c r="C35" s="7" t="s">
        <v>101</v>
      </c>
      <c r="D35" s="1" t="s">
        <v>106</v>
      </c>
      <c r="E35" s="3" t="s">
        <v>344</v>
      </c>
      <c r="G35" s="3" t="s">
        <v>368</v>
      </c>
    </row>
    <row r="36" spans="1:7" x14ac:dyDescent="0.3">
      <c r="A36" s="1" t="s">
        <v>352</v>
      </c>
      <c r="B36" s="1" t="s">
        <v>361</v>
      </c>
      <c r="C36" s="7" t="s">
        <v>47</v>
      </c>
      <c r="D36" s="1" t="s">
        <v>46</v>
      </c>
      <c r="E36" s="3" t="s">
        <v>344</v>
      </c>
      <c r="F36" s="3" t="s">
        <v>393</v>
      </c>
      <c r="G36" s="3" t="s">
        <v>368</v>
      </c>
    </row>
    <row r="37" spans="1:7" x14ac:dyDescent="0.3">
      <c r="A37" s="1" t="s">
        <v>352</v>
      </c>
      <c r="B37" s="1" t="s">
        <v>361</v>
      </c>
      <c r="C37" s="7" t="s">
        <v>121</v>
      </c>
      <c r="D37" s="1" t="s">
        <v>134</v>
      </c>
      <c r="E37" s="3" t="s">
        <v>344</v>
      </c>
      <c r="F37" s="3" t="s">
        <v>393</v>
      </c>
      <c r="G37" s="3" t="s">
        <v>368</v>
      </c>
    </row>
    <row r="38" spans="1:7" x14ac:dyDescent="0.3">
      <c r="A38" s="1" t="s">
        <v>352</v>
      </c>
      <c r="B38" s="1" t="s">
        <v>361</v>
      </c>
      <c r="C38" s="7" t="s">
        <v>150</v>
      </c>
      <c r="D38" s="1" t="s">
        <v>154</v>
      </c>
      <c r="E38" s="3" t="s">
        <v>344</v>
      </c>
      <c r="G38" s="3" t="s">
        <v>369</v>
      </c>
    </row>
    <row r="39" spans="1:7" x14ac:dyDescent="0.3">
      <c r="A39" s="1" t="s">
        <v>352</v>
      </c>
      <c r="B39" s="1" t="s">
        <v>362</v>
      </c>
      <c r="C39" s="7" t="s">
        <v>74</v>
      </c>
      <c r="D39" s="1" t="s">
        <v>77</v>
      </c>
      <c r="E39" s="3" t="s">
        <v>344</v>
      </c>
      <c r="G39" s="3" t="s">
        <v>368</v>
      </c>
    </row>
    <row r="40" spans="1:7" x14ac:dyDescent="0.3">
      <c r="A40" s="1" t="s">
        <v>352</v>
      </c>
      <c r="B40" s="1" t="s">
        <v>362</v>
      </c>
      <c r="C40" s="7" t="s">
        <v>152</v>
      </c>
      <c r="D40" s="1" t="s">
        <v>157</v>
      </c>
      <c r="E40" s="3" t="s">
        <v>354</v>
      </c>
      <c r="G40" s="3" t="s">
        <v>368</v>
      </c>
    </row>
    <row r="41" spans="1:7" x14ac:dyDescent="0.3">
      <c r="A41" s="1" t="s">
        <v>352</v>
      </c>
      <c r="B41" s="1" t="s">
        <v>362</v>
      </c>
      <c r="C41" s="7" t="s">
        <v>124</v>
      </c>
      <c r="D41" s="1" t="s">
        <v>140</v>
      </c>
      <c r="E41" s="3" t="s">
        <v>354</v>
      </c>
      <c r="F41" s="3" t="s">
        <v>370</v>
      </c>
      <c r="G41" s="3" t="s">
        <v>368</v>
      </c>
    </row>
    <row r="42" spans="1:7" x14ac:dyDescent="0.3">
      <c r="A42" s="1" t="s">
        <v>352</v>
      </c>
      <c r="B42" s="1" t="s">
        <v>362</v>
      </c>
      <c r="C42" s="7" t="s">
        <v>178</v>
      </c>
      <c r="D42" s="1" t="s">
        <v>190</v>
      </c>
      <c r="E42" s="3" t="s">
        <v>344</v>
      </c>
      <c r="G42" s="3" t="s">
        <v>369</v>
      </c>
    </row>
    <row r="43" spans="1:7" x14ac:dyDescent="0.3">
      <c r="A43" s="1" t="s">
        <v>352</v>
      </c>
      <c r="B43" s="1" t="s">
        <v>362</v>
      </c>
      <c r="C43" s="7" t="s">
        <v>44</v>
      </c>
      <c r="D43" s="1" t="s">
        <v>367</v>
      </c>
      <c r="E43" s="3" t="s">
        <v>344</v>
      </c>
      <c r="F43" s="3" t="s">
        <v>370</v>
      </c>
      <c r="G43" s="3" t="s">
        <v>368</v>
      </c>
    </row>
    <row r="44" spans="1:7" x14ac:dyDescent="0.3">
      <c r="A44" s="1" t="s">
        <v>352</v>
      </c>
      <c r="B44" s="1" t="s">
        <v>362</v>
      </c>
      <c r="C44" s="7" t="s">
        <v>72</v>
      </c>
      <c r="D44" s="1" t="s">
        <v>156</v>
      </c>
      <c r="E44" s="3" t="s">
        <v>344</v>
      </c>
      <c r="G44" s="3" t="s">
        <v>368</v>
      </c>
    </row>
    <row r="45" spans="1:7" x14ac:dyDescent="0.3">
      <c r="A45" s="1" t="s">
        <v>352</v>
      </c>
      <c r="B45" s="1" t="s">
        <v>362</v>
      </c>
      <c r="C45" s="7" t="s">
        <v>149</v>
      </c>
      <c r="D45" s="1" t="s">
        <v>75</v>
      </c>
      <c r="E45" s="3" t="s">
        <v>344</v>
      </c>
      <c r="G45" s="3" t="s">
        <v>369</v>
      </c>
    </row>
    <row r="46" spans="1:7" x14ac:dyDescent="0.3">
      <c r="A46" s="1" t="s">
        <v>352</v>
      </c>
      <c r="B46" s="1" t="s">
        <v>362</v>
      </c>
      <c r="C46" s="7" t="s">
        <v>86</v>
      </c>
      <c r="D46" s="1" t="s">
        <v>93</v>
      </c>
      <c r="E46" s="3" t="s">
        <v>344</v>
      </c>
      <c r="G46" s="3" t="s">
        <v>368</v>
      </c>
    </row>
    <row r="47" spans="1:7" x14ac:dyDescent="0.3">
      <c r="A47" s="1" t="s">
        <v>352</v>
      </c>
      <c r="B47" s="1" t="s">
        <v>363</v>
      </c>
      <c r="C47" s="7" t="s">
        <v>119</v>
      </c>
      <c r="D47" s="1" t="s">
        <v>130</v>
      </c>
      <c r="E47" s="3" t="s">
        <v>344</v>
      </c>
      <c r="G47" s="3" t="s">
        <v>368</v>
      </c>
    </row>
    <row r="48" spans="1:7" x14ac:dyDescent="0.3">
      <c r="A48" s="1" t="s">
        <v>352</v>
      </c>
      <c r="B48" s="1" t="s">
        <v>363</v>
      </c>
      <c r="C48" s="7" t="s">
        <v>195</v>
      </c>
      <c r="D48" s="1" t="s">
        <v>208</v>
      </c>
      <c r="E48" s="3" t="s">
        <v>354</v>
      </c>
      <c r="G48" s="3" t="s">
        <v>368</v>
      </c>
    </row>
    <row r="49" spans="1:7" x14ac:dyDescent="0.3">
      <c r="A49" s="1" t="s">
        <v>352</v>
      </c>
      <c r="B49" s="1" t="s">
        <v>364</v>
      </c>
      <c r="C49" s="7" t="s">
        <v>146</v>
      </c>
      <c r="D49" s="1" t="s">
        <v>153</v>
      </c>
      <c r="E49" s="3" t="s">
        <v>344</v>
      </c>
      <c r="G49" s="3" t="s">
        <v>394</v>
      </c>
    </row>
  </sheetData>
  <mergeCells count="2">
    <mergeCell ref="J1:Q1"/>
    <mergeCell ref="A1:G1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D5C4-16EE-4531-A84C-EA1C70633D7B}">
  <dimension ref="A1:C134"/>
  <sheetViews>
    <sheetView tabSelected="1" workbookViewId="0">
      <selection activeCell="D14" sqref="D14"/>
    </sheetView>
  </sheetViews>
  <sheetFormatPr defaultRowHeight="14.4" x14ac:dyDescent="0.3"/>
  <cols>
    <col min="1" max="1" width="32" style="17" customWidth="1"/>
    <col min="2" max="2" width="28.109375" style="17" customWidth="1"/>
    <col min="3" max="3" width="23.21875" customWidth="1"/>
  </cols>
  <sheetData>
    <row r="1" spans="1:3" x14ac:dyDescent="0.3">
      <c r="A1" s="17" t="s">
        <v>413</v>
      </c>
      <c r="B1" s="17" t="s">
        <v>414</v>
      </c>
      <c r="C1" t="s">
        <v>415</v>
      </c>
    </row>
    <row r="2" spans="1:3" ht="15.6" x14ac:dyDescent="0.3">
      <c r="A2" s="18" t="s">
        <v>52</v>
      </c>
      <c r="B2" s="18" t="s">
        <v>70</v>
      </c>
      <c r="C2" t="str">
        <f>IF(COUNTIF(A2:A42, B2)=0, "Missing In Dry Forests", "")</f>
        <v/>
      </c>
    </row>
    <row r="3" spans="1:3" ht="15.6" x14ac:dyDescent="0.3">
      <c r="A3" s="18" t="s">
        <v>70</v>
      </c>
      <c r="B3" s="18" t="s">
        <v>83</v>
      </c>
      <c r="C3" t="str">
        <f t="shared" ref="C3:C13" si="0">IF(COUNTIF(A3:A43, B3)=0, "Missing In Dry Forests", "")</f>
        <v/>
      </c>
    </row>
    <row r="4" spans="1:3" ht="15.6" x14ac:dyDescent="0.3">
      <c r="A4" s="18" t="s">
        <v>33</v>
      </c>
      <c r="B4" s="18" t="s">
        <v>194</v>
      </c>
      <c r="C4" t="str">
        <f t="shared" si="0"/>
        <v>Missing In Dry Forests</v>
      </c>
    </row>
    <row r="5" spans="1:3" ht="15.6" x14ac:dyDescent="0.3">
      <c r="A5" s="18" t="s">
        <v>119</v>
      </c>
      <c r="B5" s="18" t="s">
        <v>41</v>
      </c>
      <c r="C5" t="str">
        <f t="shared" si="0"/>
        <v/>
      </c>
    </row>
    <row r="6" spans="1:3" ht="15.6" x14ac:dyDescent="0.3">
      <c r="A6" s="18" t="s">
        <v>35</v>
      </c>
      <c r="B6" s="18" t="s">
        <v>56</v>
      </c>
      <c r="C6" t="str">
        <f t="shared" si="0"/>
        <v/>
      </c>
    </row>
    <row r="7" spans="1:3" ht="15.6" x14ac:dyDescent="0.3">
      <c r="A7" s="18" t="s">
        <v>65</v>
      </c>
      <c r="B7" s="18" t="s">
        <v>63</v>
      </c>
      <c r="C7" t="str">
        <f t="shared" si="0"/>
        <v/>
      </c>
    </row>
    <row r="8" spans="1:3" ht="15.6" x14ac:dyDescent="0.3">
      <c r="A8" s="18" t="s">
        <v>74</v>
      </c>
      <c r="B8" s="18" t="s">
        <v>22</v>
      </c>
      <c r="C8" t="str">
        <f t="shared" si="0"/>
        <v/>
      </c>
    </row>
    <row r="9" spans="1:3" ht="15.6" x14ac:dyDescent="0.3">
      <c r="A9" s="19" t="s">
        <v>152</v>
      </c>
      <c r="B9" s="18" t="s">
        <v>29</v>
      </c>
      <c r="C9" t="str">
        <f t="shared" si="0"/>
        <v/>
      </c>
    </row>
    <row r="10" spans="1:3" ht="15.6" x14ac:dyDescent="0.3">
      <c r="A10" s="18" t="s">
        <v>103</v>
      </c>
      <c r="B10" s="18" t="s">
        <v>18</v>
      </c>
      <c r="C10" t="str">
        <f t="shared" si="0"/>
        <v/>
      </c>
    </row>
    <row r="11" spans="1:3" ht="15.6" x14ac:dyDescent="0.3">
      <c r="A11" s="18" t="s">
        <v>83</v>
      </c>
      <c r="B11" s="18" t="s">
        <v>85</v>
      </c>
      <c r="C11" t="str">
        <f t="shared" si="0"/>
        <v/>
      </c>
    </row>
    <row r="12" spans="1:3" ht="15.6" x14ac:dyDescent="0.3">
      <c r="A12" s="18" t="s">
        <v>195</v>
      </c>
      <c r="B12" s="18" t="s">
        <v>146</v>
      </c>
      <c r="C12" t="str">
        <f t="shared" si="0"/>
        <v/>
      </c>
    </row>
    <row r="13" spans="1:3" ht="15.6" x14ac:dyDescent="0.3">
      <c r="A13" s="18" t="s">
        <v>54</v>
      </c>
      <c r="B13" s="18" t="s">
        <v>38</v>
      </c>
      <c r="C13" t="str">
        <f t="shared" si="0"/>
        <v/>
      </c>
    </row>
    <row r="14" spans="1:3" ht="15.6" x14ac:dyDescent="0.3">
      <c r="A14" s="18" t="s">
        <v>124</v>
      </c>
      <c r="B14" s="17">
        <f>COUNTA(B2:B13)</f>
        <v>12</v>
      </c>
    </row>
    <row r="15" spans="1:3" ht="15.6" x14ac:dyDescent="0.3">
      <c r="A15" s="18" t="s">
        <v>67</v>
      </c>
      <c r="B15"/>
    </row>
    <row r="16" spans="1:3" ht="15.6" x14ac:dyDescent="0.3">
      <c r="A16" s="18" t="s">
        <v>104</v>
      </c>
      <c r="B16"/>
    </row>
    <row r="17" spans="1:2" ht="15.6" x14ac:dyDescent="0.3">
      <c r="A17" s="18" t="s">
        <v>41</v>
      </c>
      <c r="B17"/>
    </row>
    <row r="18" spans="1:2" ht="15.6" x14ac:dyDescent="0.3">
      <c r="A18" s="18" t="s">
        <v>122</v>
      </c>
      <c r="B18"/>
    </row>
    <row r="19" spans="1:2" ht="15.6" x14ac:dyDescent="0.3">
      <c r="A19" s="18" t="s">
        <v>99</v>
      </c>
      <c r="B19"/>
    </row>
    <row r="20" spans="1:2" ht="15.6" x14ac:dyDescent="0.3">
      <c r="A20" s="18" t="s">
        <v>44</v>
      </c>
      <c r="B20"/>
    </row>
    <row r="21" spans="1:2" ht="15.6" x14ac:dyDescent="0.3">
      <c r="A21" s="18" t="s">
        <v>84</v>
      </c>
      <c r="B21"/>
    </row>
    <row r="22" spans="1:2" ht="15.6" x14ac:dyDescent="0.3">
      <c r="A22" s="18" t="s">
        <v>210</v>
      </c>
      <c r="B22"/>
    </row>
    <row r="23" spans="1:2" ht="15.6" x14ac:dyDescent="0.3">
      <c r="A23" s="18" t="s">
        <v>151</v>
      </c>
      <c r="B23"/>
    </row>
    <row r="24" spans="1:2" ht="15.6" x14ac:dyDescent="0.3">
      <c r="A24" s="18" t="s">
        <v>60</v>
      </c>
      <c r="B24"/>
    </row>
    <row r="25" spans="1:2" ht="15.6" x14ac:dyDescent="0.3">
      <c r="A25" s="18" t="s">
        <v>72</v>
      </c>
      <c r="B25"/>
    </row>
    <row r="26" spans="1:2" ht="15.6" x14ac:dyDescent="0.3">
      <c r="A26" s="18" t="s">
        <v>149</v>
      </c>
      <c r="B26"/>
    </row>
    <row r="27" spans="1:2" ht="15.6" x14ac:dyDescent="0.3">
      <c r="A27" s="18" t="s">
        <v>47</v>
      </c>
      <c r="B27"/>
    </row>
    <row r="28" spans="1:2" ht="15.6" x14ac:dyDescent="0.3">
      <c r="A28" s="18" t="s">
        <v>121</v>
      </c>
      <c r="B28"/>
    </row>
    <row r="29" spans="1:2" ht="15.6" x14ac:dyDescent="0.3">
      <c r="A29" s="18" t="s">
        <v>56</v>
      </c>
      <c r="B29"/>
    </row>
    <row r="30" spans="1:2" ht="15.6" x14ac:dyDescent="0.3">
      <c r="A30" s="19" t="s">
        <v>148</v>
      </c>
      <c r="B30"/>
    </row>
    <row r="31" spans="1:2" ht="15.6" x14ac:dyDescent="0.3">
      <c r="A31" s="18" t="s">
        <v>63</v>
      </c>
      <c r="B31"/>
    </row>
    <row r="32" spans="1:2" ht="15.6" x14ac:dyDescent="0.3">
      <c r="A32" s="18" t="s">
        <v>22</v>
      </c>
      <c r="B32"/>
    </row>
    <row r="33" spans="1:2" ht="15.6" x14ac:dyDescent="0.3">
      <c r="A33" s="18" t="s">
        <v>100</v>
      </c>
      <c r="B33"/>
    </row>
    <row r="34" spans="1:2" ht="15.6" x14ac:dyDescent="0.3">
      <c r="A34" s="18" t="s">
        <v>29</v>
      </c>
      <c r="B34"/>
    </row>
    <row r="35" spans="1:2" ht="15.6" x14ac:dyDescent="0.3">
      <c r="A35" s="19" t="s">
        <v>150</v>
      </c>
      <c r="B35"/>
    </row>
    <row r="36" spans="1:2" ht="15.6" x14ac:dyDescent="0.3">
      <c r="A36" s="18" t="s">
        <v>101</v>
      </c>
      <c r="B36"/>
    </row>
    <row r="37" spans="1:2" ht="15.6" x14ac:dyDescent="0.3">
      <c r="A37" s="18" t="s">
        <v>50</v>
      </c>
      <c r="B37"/>
    </row>
    <row r="38" spans="1:2" ht="15.6" x14ac:dyDescent="0.3">
      <c r="A38" s="18" t="s">
        <v>123</v>
      </c>
      <c r="B38"/>
    </row>
    <row r="39" spans="1:2" ht="15.6" x14ac:dyDescent="0.3">
      <c r="A39" s="18" t="s">
        <v>18</v>
      </c>
      <c r="B39"/>
    </row>
    <row r="40" spans="1:2" ht="15.6" x14ac:dyDescent="0.3">
      <c r="A40" s="18" t="s">
        <v>102</v>
      </c>
      <c r="B40"/>
    </row>
    <row r="41" spans="1:2" ht="15.6" x14ac:dyDescent="0.3">
      <c r="A41" s="19" t="s">
        <v>147</v>
      </c>
      <c r="B41"/>
    </row>
    <row r="42" spans="1:2" ht="15.6" x14ac:dyDescent="0.3">
      <c r="A42" s="18" t="s">
        <v>85</v>
      </c>
      <c r="B42"/>
    </row>
    <row r="43" spans="1:2" ht="15.6" x14ac:dyDescent="0.3">
      <c r="A43" s="18" t="s">
        <v>58</v>
      </c>
      <c r="B43"/>
    </row>
    <row r="44" spans="1:2" ht="15.6" x14ac:dyDescent="0.3">
      <c r="A44" s="18" t="s">
        <v>120</v>
      </c>
      <c r="B44"/>
    </row>
    <row r="45" spans="1:2" ht="15.6" x14ac:dyDescent="0.3">
      <c r="A45" s="18" t="s">
        <v>73</v>
      </c>
      <c r="B45"/>
    </row>
    <row r="46" spans="1:2" ht="15.6" x14ac:dyDescent="0.3">
      <c r="A46" s="19" t="s">
        <v>146</v>
      </c>
      <c r="B46"/>
    </row>
    <row r="47" spans="1:2" ht="15.6" x14ac:dyDescent="0.3">
      <c r="A47" s="18" t="s">
        <v>38</v>
      </c>
      <c r="B47"/>
    </row>
    <row r="48" spans="1:2" x14ac:dyDescent="0.3">
      <c r="A48" s="20">
        <f>COUNTA(A2:A47)</f>
        <v>46</v>
      </c>
      <c r="B48"/>
    </row>
    <row r="49" spans="1:2" x14ac:dyDescent="0.3">
      <c r="A49" s="20"/>
      <c r="B49"/>
    </row>
    <row r="50" spans="1:2" x14ac:dyDescent="0.3">
      <c r="A50" s="20"/>
      <c r="B50"/>
    </row>
    <row r="51" spans="1:2" x14ac:dyDescent="0.3">
      <c r="A51" s="20"/>
      <c r="B51"/>
    </row>
    <row r="52" spans="1:2" x14ac:dyDescent="0.3">
      <c r="A52" s="20"/>
      <c r="B52"/>
    </row>
    <row r="53" spans="1:2" x14ac:dyDescent="0.3">
      <c r="A53" s="20"/>
      <c r="B53"/>
    </row>
    <row r="54" spans="1:2" x14ac:dyDescent="0.3">
      <c r="A54" s="20"/>
      <c r="B54"/>
    </row>
    <row r="55" spans="1:2" x14ac:dyDescent="0.3">
      <c r="A55" s="20"/>
      <c r="B55"/>
    </row>
    <row r="56" spans="1:2" x14ac:dyDescent="0.3">
      <c r="A56" s="20"/>
      <c r="B56"/>
    </row>
    <row r="57" spans="1:2" x14ac:dyDescent="0.3">
      <c r="A57" s="20"/>
      <c r="B57"/>
    </row>
    <row r="58" spans="1:2" x14ac:dyDescent="0.3">
      <c r="A58" s="20"/>
      <c r="B58"/>
    </row>
    <row r="59" spans="1:2" x14ac:dyDescent="0.3">
      <c r="A59" s="20"/>
      <c r="B59"/>
    </row>
    <row r="60" spans="1:2" x14ac:dyDescent="0.3">
      <c r="A60" s="20"/>
      <c r="B60"/>
    </row>
    <row r="61" spans="1:2" x14ac:dyDescent="0.3">
      <c r="A61" s="20"/>
      <c r="B61"/>
    </row>
    <row r="62" spans="1:2" x14ac:dyDescent="0.3">
      <c r="A62" s="20"/>
      <c r="B62"/>
    </row>
    <row r="63" spans="1:2" x14ac:dyDescent="0.3">
      <c r="A63" s="20"/>
      <c r="B63"/>
    </row>
    <row r="64" spans="1:2" x14ac:dyDescent="0.3">
      <c r="A64" s="20"/>
      <c r="B64"/>
    </row>
    <row r="65" spans="1:2" x14ac:dyDescent="0.3">
      <c r="A65" s="20"/>
      <c r="B65"/>
    </row>
    <row r="66" spans="1:2" x14ac:dyDescent="0.3">
      <c r="A66" s="20"/>
      <c r="B66"/>
    </row>
    <row r="67" spans="1:2" x14ac:dyDescent="0.3">
      <c r="A67" s="20"/>
      <c r="B67"/>
    </row>
    <row r="68" spans="1:2" x14ac:dyDescent="0.3">
      <c r="A68" s="20"/>
      <c r="B68"/>
    </row>
    <row r="69" spans="1:2" x14ac:dyDescent="0.3">
      <c r="A69" s="20"/>
      <c r="B69"/>
    </row>
    <row r="70" spans="1:2" x14ac:dyDescent="0.3">
      <c r="A70" s="20"/>
      <c r="B70"/>
    </row>
    <row r="71" spans="1:2" x14ac:dyDescent="0.3">
      <c r="A71" s="20"/>
      <c r="B71"/>
    </row>
    <row r="72" spans="1:2" x14ac:dyDescent="0.3">
      <c r="A72" s="20"/>
      <c r="B72"/>
    </row>
    <row r="73" spans="1:2" x14ac:dyDescent="0.3">
      <c r="A73" s="20"/>
      <c r="B73"/>
    </row>
    <row r="74" spans="1:2" x14ac:dyDescent="0.3">
      <c r="A74" s="20"/>
      <c r="B74"/>
    </row>
    <row r="75" spans="1:2" x14ac:dyDescent="0.3">
      <c r="A75" s="20"/>
      <c r="B75"/>
    </row>
    <row r="76" spans="1:2" x14ac:dyDescent="0.3">
      <c r="A76" s="20"/>
      <c r="B76"/>
    </row>
    <row r="77" spans="1:2" x14ac:dyDescent="0.3">
      <c r="A77" s="20"/>
      <c r="B77"/>
    </row>
    <row r="78" spans="1:2" x14ac:dyDescent="0.3">
      <c r="A78" s="20"/>
      <c r="B78"/>
    </row>
    <row r="79" spans="1:2" x14ac:dyDescent="0.3">
      <c r="A79" s="20"/>
      <c r="B79"/>
    </row>
    <row r="80" spans="1:2" x14ac:dyDescent="0.3">
      <c r="A80" s="20"/>
      <c r="B80"/>
    </row>
    <row r="81" spans="1:2" x14ac:dyDescent="0.3">
      <c r="A81" s="20"/>
      <c r="B81"/>
    </row>
    <row r="82" spans="1:2" x14ac:dyDescent="0.3">
      <c r="A82" s="20"/>
      <c r="B82"/>
    </row>
    <row r="83" spans="1:2" x14ac:dyDescent="0.3">
      <c r="A83" s="20"/>
      <c r="B83"/>
    </row>
    <row r="84" spans="1:2" x14ac:dyDescent="0.3">
      <c r="A84" s="20"/>
      <c r="B84"/>
    </row>
    <row r="85" spans="1:2" x14ac:dyDescent="0.3">
      <c r="A85" s="20"/>
      <c r="B85"/>
    </row>
    <row r="86" spans="1:2" x14ac:dyDescent="0.3">
      <c r="A86" s="20"/>
      <c r="B86"/>
    </row>
    <row r="87" spans="1:2" x14ac:dyDescent="0.3">
      <c r="A87" s="20"/>
      <c r="B87"/>
    </row>
    <row r="88" spans="1:2" x14ac:dyDescent="0.3">
      <c r="A88" s="20"/>
      <c r="B88"/>
    </row>
    <row r="89" spans="1:2" x14ac:dyDescent="0.3">
      <c r="A89" s="20"/>
      <c r="B89"/>
    </row>
    <row r="90" spans="1:2" x14ac:dyDescent="0.3">
      <c r="A90" s="20"/>
      <c r="B90"/>
    </row>
    <row r="91" spans="1:2" x14ac:dyDescent="0.3">
      <c r="A91" s="20"/>
      <c r="B91"/>
    </row>
    <row r="92" spans="1:2" x14ac:dyDescent="0.3">
      <c r="A92" s="20"/>
      <c r="B92"/>
    </row>
    <row r="93" spans="1:2" x14ac:dyDescent="0.3">
      <c r="A93" s="20"/>
      <c r="B93"/>
    </row>
    <row r="94" spans="1:2" x14ac:dyDescent="0.3">
      <c r="A94" s="20"/>
      <c r="B94"/>
    </row>
    <row r="95" spans="1:2" x14ac:dyDescent="0.3">
      <c r="A95" s="20"/>
      <c r="B95"/>
    </row>
    <row r="96" spans="1:2" x14ac:dyDescent="0.3">
      <c r="A96" s="20"/>
      <c r="B96"/>
    </row>
    <row r="97" spans="1:2" x14ac:dyDescent="0.3">
      <c r="A97" s="20"/>
      <c r="B97"/>
    </row>
    <row r="98" spans="1:2" x14ac:dyDescent="0.3">
      <c r="A98" s="20"/>
      <c r="B98"/>
    </row>
    <row r="99" spans="1:2" x14ac:dyDescent="0.3">
      <c r="A99" s="20"/>
      <c r="B99"/>
    </row>
    <row r="100" spans="1:2" x14ac:dyDescent="0.3">
      <c r="A100" s="20"/>
      <c r="B100"/>
    </row>
    <row r="101" spans="1:2" x14ac:dyDescent="0.3">
      <c r="A101" s="20"/>
      <c r="B101"/>
    </row>
    <row r="102" spans="1:2" x14ac:dyDescent="0.3">
      <c r="A102" s="20"/>
      <c r="B102"/>
    </row>
    <row r="103" spans="1:2" x14ac:dyDescent="0.3">
      <c r="A103" s="20"/>
      <c r="B103"/>
    </row>
    <row r="104" spans="1:2" x14ac:dyDescent="0.3">
      <c r="A104" s="20"/>
      <c r="B104"/>
    </row>
    <row r="105" spans="1:2" x14ac:dyDescent="0.3">
      <c r="A105" s="20"/>
      <c r="B105"/>
    </row>
    <row r="106" spans="1:2" x14ac:dyDescent="0.3">
      <c r="A106" s="20"/>
      <c r="B106"/>
    </row>
    <row r="107" spans="1:2" x14ac:dyDescent="0.3">
      <c r="A107" s="20"/>
      <c r="B107"/>
    </row>
    <row r="108" spans="1:2" x14ac:dyDescent="0.3">
      <c r="A108" s="20"/>
      <c r="B108"/>
    </row>
    <row r="109" spans="1:2" x14ac:dyDescent="0.3">
      <c r="A109" s="20"/>
      <c r="B109"/>
    </row>
    <row r="110" spans="1:2" x14ac:dyDescent="0.3">
      <c r="A110" s="20"/>
      <c r="B110"/>
    </row>
    <row r="111" spans="1:2" x14ac:dyDescent="0.3">
      <c r="A111" s="20"/>
      <c r="B111"/>
    </row>
    <row r="112" spans="1:2" x14ac:dyDescent="0.3">
      <c r="A112" s="20"/>
      <c r="B112"/>
    </row>
    <row r="113" spans="1:2" x14ac:dyDescent="0.3">
      <c r="A113" s="20"/>
      <c r="B113"/>
    </row>
    <row r="114" spans="1:2" x14ac:dyDescent="0.3">
      <c r="A114" s="20"/>
      <c r="B114"/>
    </row>
    <row r="115" spans="1:2" x14ac:dyDescent="0.3">
      <c r="A115" s="20"/>
      <c r="B115"/>
    </row>
    <row r="116" spans="1:2" x14ac:dyDescent="0.3">
      <c r="A116" s="20"/>
      <c r="B116"/>
    </row>
    <row r="117" spans="1:2" x14ac:dyDescent="0.3">
      <c r="A117" s="20"/>
      <c r="B117"/>
    </row>
    <row r="118" spans="1:2" x14ac:dyDescent="0.3">
      <c r="A118" s="20"/>
      <c r="B118"/>
    </row>
    <row r="119" spans="1:2" x14ac:dyDescent="0.3">
      <c r="A119" s="20"/>
      <c r="B119"/>
    </row>
    <row r="120" spans="1:2" x14ac:dyDescent="0.3">
      <c r="A120" s="20"/>
      <c r="B120"/>
    </row>
    <row r="121" spans="1:2" x14ac:dyDescent="0.3">
      <c r="A121" s="20"/>
      <c r="B121"/>
    </row>
    <row r="122" spans="1:2" x14ac:dyDescent="0.3">
      <c r="A122" s="20"/>
      <c r="B122"/>
    </row>
    <row r="123" spans="1:2" x14ac:dyDescent="0.3">
      <c r="A123" s="20"/>
      <c r="B123"/>
    </row>
    <row r="124" spans="1:2" x14ac:dyDescent="0.3">
      <c r="A124" s="20"/>
      <c r="B124"/>
    </row>
    <row r="125" spans="1:2" x14ac:dyDescent="0.3">
      <c r="A125" s="20"/>
      <c r="B125"/>
    </row>
    <row r="126" spans="1:2" x14ac:dyDescent="0.3">
      <c r="A126" s="20"/>
      <c r="B126"/>
    </row>
    <row r="127" spans="1:2" x14ac:dyDescent="0.3">
      <c r="A127" s="20"/>
      <c r="B127"/>
    </row>
    <row r="128" spans="1:2" x14ac:dyDescent="0.3">
      <c r="A128" s="20"/>
      <c r="B128"/>
    </row>
    <row r="129" spans="1:2" x14ac:dyDescent="0.3">
      <c r="A129" s="20"/>
      <c r="B129"/>
    </row>
    <row r="130" spans="1:2" x14ac:dyDescent="0.3">
      <c r="A130" s="20"/>
      <c r="B130"/>
    </row>
    <row r="131" spans="1:2" x14ac:dyDescent="0.3">
      <c r="A131" s="20"/>
      <c r="B131"/>
    </row>
    <row r="132" spans="1:2" x14ac:dyDescent="0.3">
      <c r="A132" s="20"/>
      <c r="B132"/>
    </row>
    <row r="133" spans="1:2" x14ac:dyDescent="0.3">
      <c r="A133" s="20"/>
      <c r="B133"/>
    </row>
    <row r="134" spans="1:2" x14ac:dyDescent="0.3">
      <c r="A134" s="20"/>
    </row>
  </sheetData>
  <sortState xmlns:xlrd2="http://schemas.microsoft.com/office/spreadsheetml/2017/richdata2" ref="A2:A133">
    <sortCondition ref="A17:A1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E1101DF1EEA7429C61D186DA265392" ma:contentTypeVersion="14" ma:contentTypeDescription="Create a new document." ma:contentTypeScope="" ma:versionID="e1fd029e66ff634cd9a6595544c78de4">
  <xsd:schema xmlns:xsd="http://www.w3.org/2001/XMLSchema" xmlns:xs="http://www.w3.org/2001/XMLSchema" xmlns:p="http://schemas.microsoft.com/office/2006/metadata/properties" xmlns:ns2="526a50de-7c22-4c09-8db7-73c2dd151c4b" xmlns:ns3="060a55b5-9df3-48f2-990b-75d3a82777ad" targetNamespace="http://schemas.microsoft.com/office/2006/metadata/properties" ma:root="true" ma:fieldsID="91a03fca1e0c25ddfeec49d4c0cdabe8" ns2:_="" ns3:_="">
    <xsd:import namespace="526a50de-7c22-4c09-8db7-73c2dd151c4b"/>
    <xsd:import namespace="060a55b5-9df3-48f2-990b-75d3a827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a50de-7c22-4c09-8db7-73c2dd151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e0c62d-512b-43fa-b345-b766ed0349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a55b5-9df3-48f2-990b-75d3a82777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6a50de-7c22-4c09-8db7-73c2dd151c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7716A-F1B3-4DCE-A709-9343666D282F}"/>
</file>

<file path=customXml/itemProps2.xml><?xml version="1.0" encoding="utf-8"?>
<ds:datastoreItem xmlns:ds="http://schemas.openxmlformats.org/officeDocument/2006/customXml" ds:itemID="{54C5786E-6620-4FD1-931A-B603A5FBE998}"/>
</file>

<file path=customXml/itemProps3.xml><?xml version="1.0" encoding="utf-8"?>
<ds:datastoreItem xmlns:ds="http://schemas.openxmlformats.org/officeDocument/2006/customXml" ds:itemID="{0A501A7C-DB06-4708-899A-3774DA393A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Francisco J. Mujica</vt:lpstr>
      <vt:lpstr>Xkanha</vt:lpstr>
      <vt:lpstr>Xmaben</vt:lpstr>
      <vt:lpstr>Pustunich</vt:lpstr>
      <vt:lpstr>Yohaltún</vt:lpstr>
      <vt:lpstr>Felipe Ángeles</vt:lpstr>
      <vt:lpstr>Manuel Crescencio Rejón</vt:lpstr>
      <vt:lpstr>Chun Ek</vt:lpstr>
      <vt:lpstr>Cancabchen</vt:lpstr>
      <vt:lpstr>Chanchen</vt:lpstr>
      <vt:lpstr>Cristóbal Colón</vt:lpstr>
      <vt:lpstr>Información de transectos</vt:lpstr>
      <vt:lpstr>Listado general</vt:lpstr>
      <vt:lpstr>final spp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Nahuat</dc:creator>
  <cp:lastModifiedBy>Maggie Maniago</cp:lastModifiedBy>
  <dcterms:created xsi:type="dcterms:W3CDTF">2023-05-18T16:28:12Z</dcterms:created>
  <dcterms:modified xsi:type="dcterms:W3CDTF">2025-07-03T17:42:21Z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0x01010009E1101DF1EEA7429C61D186DA265392</vt:lpwstr>
  </property>
</Properties>
</file>